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4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7.xml" ContentType="application/vnd.openxmlformats-officedocument.drawing+xml"/>
  <Override PartName="/xl/charts/chart2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29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0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1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8.xml" ContentType="application/vnd.openxmlformats-officedocument.drawing+xml"/>
  <Override PartName="/xl/charts/chart32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3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4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5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6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9.xml" ContentType="application/vnd.openxmlformats-officedocument.drawing+xml"/>
  <Override PartName="/xl/charts/chart37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38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39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0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1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redd\Desktop\ATU INTELIGENCIA ARTIFICIAL\PORTAFOLIO\"/>
    </mc:Choice>
  </mc:AlternateContent>
  <xr:revisionPtr revIDLastSave="0" documentId="13_ncr:1_{8DAF985E-D2B8-4A57-90CA-46B286B5294D}" xr6:coauthVersionLast="47" xr6:coauthVersionMax="47" xr10:uidLastSave="{00000000-0000-0000-0000-000000000000}"/>
  <bookViews>
    <workbookView xWindow="-120" yWindow="-120" windowWidth="20730" windowHeight="11040" firstSheet="4" activeTab="4" xr2:uid="{00000000-000D-0000-FFFF-FFFF00000000}"/>
  </bookViews>
  <sheets>
    <sheet name="PROBLEMA" sheetId="1" r:id="rId1"/>
    <sheet name="ANALISIS" sheetId="2" r:id="rId2"/>
    <sheet name=" PRECIO CEM VS INF PAIS" sheetId="4" r:id="rId3"/>
    <sheet name=" COMPARACION FR" sheetId="5" r:id="rId4"/>
    <sheet name="inf prod vs año" sheetId="11" r:id="rId5"/>
    <sheet name="graficos lineales" sheetId="6" r:id="rId6"/>
    <sheet name="dispercion lineal" sheetId="7" r:id="rId7"/>
    <sheet name="dispercion polinomica" sheetId="8" r:id="rId8"/>
    <sheet name="proyeccion 4 años" sheetId="9" r:id="rId9"/>
  </sheets>
  <definedNames>
    <definedName name="_xlnm._FilterDatabase" localSheetId="2" hidden="1">' PRECIO CEM VS INF PAIS'!$A$1:$E$109</definedName>
    <definedName name="_xlchart.v1.0" hidden="1">' PRECIO CEM VS INF PAIS'!$B$114</definedName>
    <definedName name="_xlchart.v1.1" hidden="1">' PRECIO CEM VS INF PAIS'!$B$115:$B$222</definedName>
    <definedName name="_xlchart.v1.2" hidden="1">' PRECIO CEM VS INF PAIS'!$Q$4:$Q$12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7" i="11" l="1"/>
  <c r="C68" i="11"/>
  <c r="C69" i="11"/>
  <c r="C70" i="11"/>
  <c r="C71" i="11"/>
  <c r="C72" i="11"/>
  <c r="C73" i="11"/>
  <c r="C74" i="11"/>
  <c r="C66" i="11"/>
  <c r="C48" i="11"/>
  <c r="C49" i="11"/>
  <c r="C50" i="11"/>
  <c r="C51" i="11"/>
  <c r="C52" i="11"/>
  <c r="C53" i="11"/>
  <c r="C54" i="11"/>
  <c r="C55" i="11"/>
  <c r="C47" i="11"/>
  <c r="C29" i="11"/>
  <c r="C30" i="11"/>
  <c r="C31" i="11"/>
  <c r="C32" i="11"/>
  <c r="C33" i="11"/>
  <c r="C34" i="11"/>
  <c r="C35" i="11"/>
  <c r="C36" i="11"/>
  <c r="C28" i="11"/>
  <c r="C9" i="11"/>
  <c r="C11" i="9"/>
  <c r="C10" i="11" l="1"/>
  <c r="C11" i="11"/>
  <c r="C12" i="11"/>
  <c r="C13" i="11"/>
  <c r="C14" i="11"/>
  <c r="C15" i="11"/>
  <c r="C16" i="11"/>
  <c r="C17" i="11"/>
  <c r="A10" i="11" l="1"/>
  <c r="A11" i="11" s="1"/>
  <c r="A12" i="11" s="1"/>
  <c r="A13" i="11" s="1"/>
  <c r="A14" i="11" s="1"/>
  <c r="A15" i="11" s="1"/>
  <c r="A16" i="11" s="1"/>
  <c r="A17" i="11" s="1"/>
  <c r="C55" i="9" l="1"/>
  <c r="O46" i="9" s="1"/>
  <c r="O47" i="9" s="1"/>
  <c r="N47" i="9" s="1"/>
  <c r="O54" i="9" s="1"/>
  <c r="C40" i="9"/>
  <c r="O31" i="9" s="1"/>
  <c r="O32" i="9" s="1"/>
  <c r="N32" i="9" s="1"/>
  <c r="O53" i="9" s="1"/>
  <c r="C25" i="9"/>
  <c r="O16" i="9" s="1"/>
  <c r="O3" i="9"/>
  <c r="O4" i="9" s="1"/>
  <c r="B42" i="8"/>
  <c r="B43" i="8"/>
  <c r="B44" i="8"/>
  <c r="B45" i="8"/>
  <c r="B46" i="8"/>
  <c r="B29" i="8"/>
  <c r="B30" i="8"/>
  <c r="B31" i="8"/>
  <c r="B32" i="8"/>
  <c r="B33" i="8"/>
  <c r="B16" i="8"/>
  <c r="B17" i="8"/>
  <c r="B18" i="8"/>
  <c r="B19" i="8"/>
  <c r="B20" i="8"/>
  <c r="N46" i="9" l="1"/>
  <c r="N54" i="9" s="1"/>
  <c r="N31" i="9"/>
  <c r="N53" i="9" s="1"/>
  <c r="O17" i="9"/>
  <c r="N17" i="9" s="1"/>
  <c r="O52" i="9" s="1"/>
  <c r="N16" i="9"/>
  <c r="N52" i="9" s="1"/>
  <c r="N3" i="9"/>
  <c r="N51" i="9" s="1"/>
  <c r="N4" i="9"/>
  <c r="O51" i="9" s="1"/>
  <c r="B7" i="8"/>
  <c r="Q3" i="8" l="1"/>
  <c r="Q16" i="8" s="1"/>
  <c r="Q44" i="8" l="1"/>
  <c r="R44" i="8" s="1"/>
  <c r="Q45" i="8" s="1"/>
  <c r="M18" i="8" s="1"/>
  <c r="R3" i="8"/>
  <c r="Q6" i="8" s="1"/>
  <c r="M15" i="8" s="1"/>
  <c r="L15" i="8"/>
  <c r="R16" i="8"/>
  <c r="Q17" i="8" s="1"/>
  <c r="M16" i="8" s="1"/>
  <c r="L18" i="8"/>
  <c r="Q30" i="8"/>
  <c r="AA59" i="5"/>
  <c r="AA63" i="5"/>
  <c r="L16" i="8" l="1"/>
  <c r="R30" i="8"/>
  <c r="Q31" i="8" s="1"/>
  <c r="M17" i="8" s="1"/>
  <c r="L17" i="8"/>
  <c r="L2" i="4"/>
  <c r="M2" i="4" s="1"/>
  <c r="AC61" i="5"/>
  <c r="AC60" i="5"/>
  <c r="AC59" i="5"/>
  <c r="AC58" i="5"/>
  <c r="AC57" i="5"/>
  <c r="K38" i="5" l="1"/>
  <c r="K37" i="5"/>
  <c r="K36" i="5"/>
  <c r="I34" i="5"/>
  <c r="O33" i="5" s="1"/>
  <c r="K28" i="5"/>
  <c r="K27" i="5"/>
  <c r="K26" i="5"/>
  <c r="I25" i="5"/>
  <c r="I24" i="5"/>
  <c r="O23" i="5" s="1"/>
  <c r="K17" i="5"/>
  <c r="K15" i="5"/>
  <c r="I13" i="5"/>
  <c r="O13" i="5" s="1"/>
  <c r="K7" i="5"/>
  <c r="K6" i="5"/>
  <c r="K5" i="5"/>
  <c r="I4" i="5"/>
  <c r="I3" i="5"/>
  <c r="O3" i="5" s="1"/>
  <c r="K16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3" i="5"/>
  <c r="M34" i="5"/>
  <c r="M35" i="5" s="1"/>
  <c r="M36" i="5" s="1"/>
  <c r="M37" i="5" s="1"/>
  <c r="M24" i="5"/>
  <c r="M25" i="5" s="1"/>
  <c r="M26" i="5" s="1"/>
  <c r="M27" i="5" s="1"/>
  <c r="M14" i="5"/>
  <c r="M15" i="5" s="1"/>
  <c r="M16" i="5" s="1"/>
  <c r="M17" i="5" s="1"/>
  <c r="M4" i="5"/>
  <c r="I35" i="5"/>
  <c r="I14" i="5"/>
  <c r="K33" i="5" l="1"/>
  <c r="K35" i="5" s="1"/>
  <c r="P33" i="5" s="1"/>
  <c r="K23" i="5"/>
  <c r="K25" i="5" s="1"/>
  <c r="P23" i="5" s="1"/>
  <c r="O24" i="5" s="1"/>
  <c r="P24" i="5" s="1"/>
  <c r="O25" i="5" s="1"/>
  <c r="P25" i="5" s="1"/>
  <c r="O26" i="5" s="1"/>
  <c r="P26" i="5" s="1"/>
  <c r="O27" i="5" s="1"/>
  <c r="P27" i="5" s="1"/>
  <c r="K12" i="5"/>
  <c r="K14" i="5" s="1"/>
  <c r="P13" i="5" s="1"/>
  <c r="K2" i="5"/>
  <c r="K4" i="5" s="1"/>
  <c r="P3" i="5" s="1"/>
  <c r="M5" i="5"/>
  <c r="O14" i="5" l="1"/>
  <c r="P14" i="5" s="1"/>
  <c r="O15" i="5" s="1"/>
  <c r="P15" i="5" s="1"/>
  <c r="Q23" i="5" a="1"/>
  <c r="O34" i="5"/>
  <c r="P34" i="5" s="1"/>
  <c r="O35" i="5" s="1"/>
  <c r="P35" i="5" s="1"/>
  <c r="O36" i="5" s="1"/>
  <c r="P36" i="5" s="1"/>
  <c r="O37" i="5" s="1"/>
  <c r="P37" i="5" s="1"/>
  <c r="O4" i="5"/>
  <c r="P4" i="5" s="1"/>
  <c r="O5" i="5" s="1"/>
  <c r="P5" i="5" s="1"/>
  <c r="O6" i="5" s="1"/>
  <c r="P6" i="5" s="1"/>
  <c r="O7" i="5" s="1"/>
  <c r="P7" i="5" s="1"/>
  <c r="M6" i="5"/>
  <c r="O16" i="5" l="1"/>
  <c r="P16" i="5" s="1"/>
  <c r="O17" i="5" s="1"/>
  <c r="P17" i="5" s="1"/>
  <c r="Q13" i="5" s="1" a="1"/>
  <c r="Q23" i="5"/>
  <c r="Q27" i="5"/>
  <c r="Q26" i="5"/>
  <c r="Q25" i="5"/>
  <c r="Q24" i="5"/>
  <c r="Q33" i="5" a="1"/>
  <c r="Q3" i="5" a="1"/>
  <c r="Q7" i="5" s="1"/>
  <c r="M7" i="5"/>
  <c r="Q28" i="5" l="1"/>
  <c r="R23" i="5" s="1"/>
  <c r="Q13" i="5"/>
  <c r="Q16" i="5"/>
  <c r="Q15" i="5"/>
  <c r="Q14" i="5"/>
  <c r="Q17" i="5"/>
  <c r="Q33" i="5"/>
  <c r="Q36" i="5"/>
  <c r="Q35" i="5"/>
  <c r="Q34" i="5"/>
  <c r="Q37" i="5"/>
  <c r="Q4" i="5"/>
  <c r="Q3" i="5"/>
  <c r="Q5" i="5"/>
  <c r="Q6" i="5"/>
  <c r="R24" i="5"/>
  <c r="Q18" i="5"/>
  <c r="R13" i="5" s="1"/>
  <c r="Q38" i="5"/>
  <c r="R37" i="5" s="1"/>
  <c r="R25" i="5" l="1"/>
  <c r="R26" i="5"/>
  <c r="R27" i="5"/>
  <c r="R28" i="5" s="1"/>
  <c r="R36" i="5"/>
  <c r="R35" i="5"/>
  <c r="R33" i="5"/>
  <c r="R34" i="5"/>
  <c r="R17" i="5"/>
  <c r="R16" i="5"/>
  <c r="R14" i="5"/>
  <c r="R15" i="5"/>
  <c r="Q8" i="5"/>
  <c r="R38" i="5" l="1"/>
  <c r="R18" i="5"/>
  <c r="R4" i="5"/>
  <c r="R7" i="5"/>
  <c r="R3" i="5"/>
  <c r="R6" i="5"/>
  <c r="R5" i="5"/>
  <c r="R8" i="5" l="1"/>
  <c r="Q30" i="4" l="1"/>
  <c r="U32" i="4" s="1"/>
  <c r="Q23" i="4"/>
  <c r="Q22" i="4"/>
  <c r="U8" i="4" l="1"/>
  <c r="U12" i="4" s="1"/>
  <c r="Q45" i="4"/>
  <c r="P42" i="4"/>
  <c r="W25" i="4"/>
  <c r="U25" i="4"/>
  <c r="R5" i="4"/>
  <c r="R4" i="4"/>
  <c r="Q13" i="4"/>
  <c r="K11" i="4"/>
  <c r="E2" i="4"/>
  <c r="I10" i="4"/>
  <c r="I9" i="4"/>
  <c r="J9" i="4" s="1"/>
  <c r="L9" i="4" s="1"/>
  <c r="M9" i="4" s="1"/>
  <c r="I8" i="4"/>
  <c r="I7" i="4"/>
  <c r="J7" i="4" s="1"/>
  <c r="L7" i="4" s="1"/>
  <c r="M7" i="4" s="1"/>
  <c r="I6" i="4"/>
  <c r="I5" i="4"/>
  <c r="J5" i="4" s="1"/>
  <c r="L5" i="4" s="1"/>
  <c r="M5" i="4" s="1"/>
  <c r="I4" i="4"/>
  <c r="I3" i="4"/>
  <c r="J3" i="4" s="1"/>
  <c r="L3" i="4" s="1"/>
  <c r="M3" i="4" s="1"/>
  <c r="I2" i="4"/>
  <c r="H3" i="4"/>
  <c r="H4" i="4" s="1"/>
  <c r="H5" i="4" s="1"/>
  <c r="H6" i="4" s="1"/>
  <c r="H7" i="4" s="1"/>
  <c r="H8" i="4" s="1"/>
  <c r="H9" i="4" s="1"/>
  <c r="H10" i="4" s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3" i="4"/>
  <c r="J6" i="4" l="1"/>
  <c r="L6" i="4" s="1"/>
  <c r="M6" i="4" s="1"/>
  <c r="J10" i="4"/>
  <c r="L10" i="4" s="1"/>
  <c r="M10" i="4" s="1"/>
  <c r="J4" i="4"/>
  <c r="L4" i="4" s="1"/>
  <c r="M4" i="4" s="1"/>
  <c r="J8" i="4"/>
  <c r="L8" i="4" s="1"/>
  <c r="M8" i="4" s="1"/>
  <c r="I11" i="4"/>
  <c r="J11" i="4" l="1"/>
  <c r="L11" i="4" l="1"/>
  <c r="A116" i="4" l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U28" i="4" l="1"/>
  <c r="V24" i="4"/>
  <c r="P5" i="4"/>
  <c r="P6" i="4" s="1"/>
  <c r="P7" i="4" s="1"/>
  <c r="P8" i="4" s="1"/>
  <c r="P9" i="4" s="1"/>
  <c r="P10" i="4" s="1"/>
  <c r="P11" i="4" s="1"/>
  <c r="P12" i="4" s="1"/>
  <c r="Q26" i="4" l="1"/>
  <c r="Q28" i="4" s="1"/>
  <c r="Q42" i="4" s="1"/>
  <c r="U36" i="4"/>
  <c r="C4" i="4"/>
  <c r="E4" i="4" s="1"/>
  <c r="C3" i="4"/>
  <c r="E3" i="4" s="1"/>
  <c r="P43" i="4" l="1"/>
  <c r="Q43" i="4" s="1"/>
  <c r="P44" i="4" s="1"/>
  <c r="Q44" i="4" s="1"/>
  <c r="P45" i="4" s="1"/>
  <c r="F3" i="4"/>
  <c r="F7" i="4"/>
  <c r="F11" i="4"/>
  <c r="F15" i="4"/>
  <c r="F19" i="4"/>
  <c r="F23" i="4"/>
  <c r="F27" i="4"/>
  <c r="F31" i="4"/>
  <c r="F35" i="4"/>
  <c r="F39" i="4"/>
  <c r="F43" i="4"/>
  <c r="F47" i="4"/>
  <c r="F51" i="4"/>
  <c r="F55" i="4"/>
  <c r="F59" i="4"/>
  <c r="F63" i="4"/>
  <c r="F67" i="4"/>
  <c r="F71" i="4"/>
  <c r="F75" i="4"/>
  <c r="F79" i="4"/>
  <c r="F83" i="4"/>
  <c r="F87" i="4"/>
  <c r="F91" i="4"/>
  <c r="F95" i="4"/>
  <c r="F99" i="4"/>
  <c r="F103" i="4"/>
  <c r="F107" i="4"/>
  <c r="F4" i="4"/>
  <c r="F8" i="4"/>
  <c r="F12" i="4"/>
  <c r="F16" i="4"/>
  <c r="F20" i="4"/>
  <c r="F24" i="4"/>
  <c r="F28" i="4"/>
  <c r="F32" i="4"/>
  <c r="F36" i="4"/>
  <c r="F40" i="4"/>
  <c r="F44" i="4"/>
  <c r="F48" i="4"/>
  <c r="F52" i="4"/>
  <c r="F56" i="4"/>
  <c r="F60" i="4"/>
  <c r="F64" i="4"/>
  <c r="F68" i="4"/>
  <c r="F72" i="4"/>
  <c r="F76" i="4"/>
  <c r="F80" i="4"/>
  <c r="F84" i="4"/>
  <c r="F88" i="4"/>
  <c r="F92" i="4"/>
  <c r="F96" i="4"/>
  <c r="F100" i="4"/>
  <c r="F104" i="4"/>
  <c r="F108" i="4"/>
  <c r="F5" i="4"/>
  <c r="F9" i="4"/>
  <c r="F13" i="4"/>
  <c r="F17" i="4"/>
  <c r="F21" i="4"/>
  <c r="F25" i="4"/>
  <c r="F29" i="4"/>
  <c r="F33" i="4"/>
  <c r="F37" i="4"/>
  <c r="F41" i="4"/>
  <c r="F45" i="4"/>
  <c r="F49" i="4"/>
  <c r="F53" i="4"/>
  <c r="F57" i="4"/>
  <c r="F61" i="4"/>
  <c r="F65" i="4"/>
  <c r="F69" i="4"/>
  <c r="F73" i="4"/>
  <c r="F77" i="4"/>
  <c r="F81" i="4"/>
  <c r="F85" i="4"/>
  <c r="F89" i="4"/>
  <c r="F93" i="4"/>
  <c r="F97" i="4"/>
  <c r="F101" i="4"/>
  <c r="F105" i="4"/>
  <c r="F109" i="4"/>
  <c r="F6" i="4"/>
  <c r="F10" i="4"/>
  <c r="F14" i="4"/>
  <c r="F18" i="4"/>
  <c r="F22" i="4"/>
  <c r="F38" i="4"/>
  <c r="F54" i="4"/>
  <c r="F70" i="4"/>
  <c r="F86" i="4"/>
  <c r="F102" i="4"/>
  <c r="F42" i="4"/>
  <c r="F58" i="4"/>
  <c r="F74" i="4"/>
  <c r="F106" i="4"/>
  <c r="F82" i="4"/>
  <c r="F26" i="4"/>
  <c r="F90" i="4"/>
  <c r="F30" i="4"/>
  <c r="F46" i="4"/>
  <c r="F62" i="4"/>
  <c r="F78" i="4"/>
  <c r="F94" i="4"/>
  <c r="F2" i="4"/>
  <c r="F34" i="4"/>
  <c r="F50" i="4"/>
  <c r="F66" i="4"/>
  <c r="F98" i="4"/>
  <c r="C109" i="4"/>
  <c r="E109" i="4" s="1"/>
  <c r="C105" i="4"/>
  <c r="E105" i="4" s="1"/>
  <c r="C101" i="4"/>
  <c r="E101" i="4" s="1"/>
  <c r="C97" i="4"/>
  <c r="E97" i="4" s="1"/>
  <c r="C93" i="4"/>
  <c r="E93" i="4" s="1"/>
  <c r="C89" i="4"/>
  <c r="E89" i="4" s="1"/>
  <c r="C106" i="4"/>
  <c r="E106" i="4" s="1"/>
  <c r="C102" i="4"/>
  <c r="E102" i="4" s="1"/>
  <c r="C98" i="4"/>
  <c r="E98" i="4" s="1"/>
  <c r="C94" i="4"/>
  <c r="E94" i="4" s="1"/>
  <c r="C90" i="4"/>
  <c r="E90" i="4" s="1"/>
  <c r="C86" i="4"/>
  <c r="E86" i="4" s="1"/>
  <c r="C82" i="4"/>
  <c r="E82" i="4" s="1"/>
  <c r="C78" i="4"/>
  <c r="E78" i="4" s="1"/>
  <c r="C74" i="4"/>
  <c r="E74" i="4" s="1"/>
  <c r="C70" i="4"/>
  <c r="E70" i="4" s="1"/>
  <c r="C66" i="4"/>
  <c r="E66" i="4" s="1"/>
  <c r="C62" i="4"/>
  <c r="E62" i="4" s="1"/>
  <c r="C58" i="4"/>
  <c r="E58" i="4" s="1"/>
  <c r="C54" i="4"/>
  <c r="E54" i="4" s="1"/>
  <c r="C50" i="4"/>
  <c r="E50" i="4" s="1"/>
  <c r="C46" i="4"/>
  <c r="E46" i="4" s="1"/>
  <c r="C42" i="4"/>
  <c r="E42" i="4" s="1"/>
  <c r="C38" i="4"/>
  <c r="E38" i="4" s="1"/>
  <c r="C34" i="4"/>
  <c r="E34" i="4" s="1"/>
  <c r="C30" i="4"/>
  <c r="E30" i="4" s="1"/>
  <c r="C26" i="4"/>
  <c r="E26" i="4" s="1"/>
  <c r="C22" i="4"/>
  <c r="E22" i="4" s="1"/>
  <c r="C18" i="4"/>
  <c r="E18" i="4" s="1"/>
  <c r="C14" i="4"/>
  <c r="E14" i="4" s="1"/>
  <c r="C10" i="4"/>
  <c r="E10" i="4" s="1"/>
  <c r="C6" i="4"/>
  <c r="E6" i="4" s="1"/>
  <c r="C85" i="4"/>
  <c r="E85" i="4" s="1"/>
  <c r="C81" i="4"/>
  <c r="E81" i="4" s="1"/>
  <c r="C77" i="4"/>
  <c r="E77" i="4" s="1"/>
  <c r="C73" i="4"/>
  <c r="E73" i="4" s="1"/>
  <c r="C69" i="4"/>
  <c r="E69" i="4" s="1"/>
  <c r="C65" i="4"/>
  <c r="E65" i="4" s="1"/>
  <c r="C61" i="4"/>
  <c r="E61" i="4" s="1"/>
  <c r="C57" i="4"/>
  <c r="E57" i="4" s="1"/>
  <c r="C53" i="4"/>
  <c r="E53" i="4" s="1"/>
  <c r="C49" i="4"/>
  <c r="E49" i="4" s="1"/>
  <c r="C45" i="4"/>
  <c r="E45" i="4" s="1"/>
  <c r="C41" i="4"/>
  <c r="E41" i="4" s="1"/>
  <c r="C37" i="4"/>
  <c r="E37" i="4" s="1"/>
  <c r="C33" i="4"/>
  <c r="E33" i="4" s="1"/>
  <c r="C29" i="4"/>
  <c r="E29" i="4" s="1"/>
  <c r="C25" i="4"/>
  <c r="E25" i="4" s="1"/>
  <c r="C21" i="4"/>
  <c r="E21" i="4" s="1"/>
  <c r="C17" i="4"/>
  <c r="E17" i="4" s="1"/>
  <c r="C13" i="4"/>
  <c r="E13" i="4" s="1"/>
  <c r="C9" i="4"/>
  <c r="E9" i="4" s="1"/>
  <c r="C103" i="4"/>
  <c r="E103" i="4" s="1"/>
  <c r="C99" i="4"/>
  <c r="E99" i="4" s="1"/>
  <c r="C95" i="4"/>
  <c r="E95" i="4" s="1"/>
  <c r="C83" i="4"/>
  <c r="E83" i="4" s="1"/>
  <c r="C79" i="4"/>
  <c r="E79" i="4" s="1"/>
  <c r="C67" i="4"/>
  <c r="E67" i="4" s="1"/>
  <c r="C63" i="4"/>
  <c r="E63" i="4" s="1"/>
  <c r="C51" i="4"/>
  <c r="E51" i="4" s="1"/>
  <c r="C47" i="4"/>
  <c r="E47" i="4" s="1"/>
  <c r="C35" i="4"/>
  <c r="E35" i="4" s="1"/>
  <c r="C31" i="4"/>
  <c r="E31" i="4" s="1"/>
  <c r="C19" i="4"/>
  <c r="E19" i="4" s="1"/>
  <c r="C15" i="4"/>
  <c r="E15" i="4" s="1"/>
  <c r="C107" i="4"/>
  <c r="E107" i="4" s="1"/>
  <c r="C75" i="4"/>
  <c r="E75" i="4" s="1"/>
  <c r="C43" i="4"/>
  <c r="E43" i="4" s="1"/>
  <c r="C11" i="4"/>
  <c r="E11" i="4" s="1"/>
  <c r="C5" i="4"/>
  <c r="E5" i="4" s="1"/>
  <c r="C87" i="4"/>
  <c r="E87" i="4" s="1"/>
  <c r="C71" i="4"/>
  <c r="E71" i="4" s="1"/>
  <c r="C55" i="4"/>
  <c r="E55" i="4" s="1"/>
  <c r="C39" i="4"/>
  <c r="E39" i="4" s="1"/>
  <c r="C23" i="4"/>
  <c r="E23" i="4" s="1"/>
  <c r="C7" i="4"/>
  <c r="E7" i="4" s="1"/>
  <c r="C108" i="4"/>
  <c r="E108" i="4" s="1"/>
  <c r="C104" i="4"/>
  <c r="E104" i="4" s="1"/>
  <c r="C100" i="4"/>
  <c r="E100" i="4" s="1"/>
  <c r="C96" i="4"/>
  <c r="E96" i="4" s="1"/>
  <c r="C92" i="4"/>
  <c r="E92" i="4" s="1"/>
  <c r="C88" i="4"/>
  <c r="E88" i="4" s="1"/>
  <c r="C84" i="4"/>
  <c r="E84" i="4" s="1"/>
  <c r="C80" i="4"/>
  <c r="E80" i="4" s="1"/>
  <c r="C76" i="4"/>
  <c r="E76" i="4" s="1"/>
  <c r="C72" i="4"/>
  <c r="E72" i="4" s="1"/>
  <c r="C68" i="4"/>
  <c r="E68" i="4" s="1"/>
  <c r="C64" i="4"/>
  <c r="E64" i="4" s="1"/>
  <c r="C60" i="4"/>
  <c r="E60" i="4" s="1"/>
  <c r="C56" i="4"/>
  <c r="E56" i="4" s="1"/>
  <c r="C52" i="4"/>
  <c r="E52" i="4" s="1"/>
  <c r="C48" i="4"/>
  <c r="E48" i="4" s="1"/>
  <c r="C44" i="4"/>
  <c r="E44" i="4" s="1"/>
  <c r="C40" i="4"/>
  <c r="E40" i="4" s="1"/>
  <c r="C36" i="4"/>
  <c r="E36" i="4" s="1"/>
  <c r="C32" i="4"/>
  <c r="E32" i="4" s="1"/>
  <c r="C28" i="4"/>
  <c r="E28" i="4" s="1"/>
  <c r="C24" i="4"/>
  <c r="E24" i="4" s="1"/>
  <c r="C20" i="4"/>
  <c r="E20" i="4" s="1"/>
  <c r="C16" i="4"/>
  <c r="E16" i="4" s="1"/>
  <c r="C12" i="4"/>
  <c r="E12" i="4" s="1"/>
  <c r="C8" i="4"/>
  <c r="E8" i="4" s="1"/>
  <c r="C91" i="4"/>
  <c r="E91" i="4" s="1"/>
  <c r="C59" i="4"/>
  <c r="E59" i="4" s="1"/>
  <c r="C27" i="4"/>
  <c r="E27" i="4" s="1"/>
  <c r="T45" i="4" l="1"/>
  <c r="T42" i="4"/>
  <c r="T43" i="4"/>
  <c r="T44" i="4"/>
  <c r="AC5" i="2"/>
  <c r="AC6" i="2"/>
  <c r="AC7" i="2" s="1"/>
  <c r="AC4" i="2"/>
  <c r="AB5" i="2"/>
  <c r="AB6" i="2"/>
  <c r="AB4" i="2"/>
  <c r="Y5" i="2"/>
  <c r="Y6" i="2"/>
  <c r="Y4" i="2"/>
  <c r="Y7" i="2" s="1"/>
  <c r="X5" i="2"/>
  <c r="X7" i="2" s="1"/>
  <c r="X6" i="2"/>
  <c r="X4" i="2"/>
  <c r="U5" i="2"/>
  <c r="U6" i="2"/>
  <c r="U4" i="2"/>
  <c r="U7" i="2" s="1"/>
  <c r="T5" i="2"/>
  <c r="T6" i="2"/>
  <c r="T4" i="2"/>
  <c r="T7" i="2" s="1"/>
  <c r="Q4" i="2"/>
  <c r="Q5" i="2"/>
  <c r="Q6" i="2"/>
  <c r="P5" i="2"/>
  <c r="P6" i="2"/>
  <c r="P4" i="2"/>
  <c r="P7" i="2" s="1"/>
  <c r="M5" i="2"/>
  <c r="M6" i="2"/>
  <c r="M4" i="2"/>
  <c r="L5" i="2"/>
  <c r="L6" i="2"/>
  <c r="L4" i="2"/>
  <c r="I5" i="2"/>
  <c r="I6" i="2"/>
  <c r="I4" i="2"/>
  <c r="I7" i="2" s="1"/>
  <c r="Q7" i="2" l="1"/>
  <c r="L7" i="2"/>
  <c r="T46" i="4"/>
  <c r="U44" i="4" s="1"/>
  <c r="M7" i="2"/>
  <c r="AB7" i="2"/>
  <c r="H5" i="2"/>
  <c r="H6" i="2"/>
  <c r="H4" i="2"/>
  <c r="H7" i="2" s="1"/>
  <c r="U42" i="4" l="1"/>
  <c r="U43" i="4"/>
  <c r="U45" i="4"/>
  <c r="E5" i="2"/>
  <c r="E6" i="2"/>
  <c r="E4" i="2"/>
  <c r="D5" i="2"/>
  <c r="D6" i="2"/>
  <c r="D4" i="2"/>
  <c r="E7" i="2" l="1"/>
  <c r="D7" i="2"/>
  <c r="U46" i="4"/>
  <c r="V42" i="4"/>
  <c r="V43" i="4" s="1"/>
  <c r="V44" i="4" s="1"/>
  <c r="C78" i="1"/>
  <c r="C79" i="1" s="1"/>
  <c r="C80" i="1" s="1"/>
</calcChain>
</file>

<file path=xl/sharedStrings.xml><?xml version="1.0" encoding="utf-8"?>
<sst xmlns="http://schemas.openxmlformats.org/spreadsheetml/2006/main" count="903" uniqueCount="449">
  <si>
    <t>PROYECTO</t>
  </si>
  <si>
    <t>EMPRESA CONSTRUCTORA</t>
  </si>
  <si>
    <t>PROBLEMA</t>
  </si>
  <si>
    <t>CAUSA</t>
  </si>
  <si>
    <t>EFECTOS</t>
  </si>
  <si>
    <t>RETRAZO EN LA CONTRATACION</t>
  </si>
  <si>
    <t>MALA PLANIFICACION</t>
  </si>
  <si>
    <t>RETRAZO EN LOS DISEÑOS</t>
  </si>
  <si>
    <t>PERSONAL CAPACITADO</t>
  </si>
  <si>
    <t>TEMPORADA DE INVIERNO</t>
  </si>
  <si>
    <t>MATERIALES EN STOCK</t>
  </si>
  <si>
    <t>IMPREVISTOS</t>
  </si>
  <si>
    <t>ALQUILER DE EQUIPOS Y HERRAMIENTAS</t>
  </si>
  <si>
    <t>VARIABLES DEPENDIENTES</t>
  </si>
  <si>
    <t>COBROS LEGALES</t>
  </si>
  <si>
    <t>RETRAZO EN LA ENTREGA FINAL</t>
  </si>
  <si>
    <t>PERDIDA DE DINERO EN MANO DE OBRA</t>
  </si>
  <si>
    <t>RETRAZO EN EL TIEMPO DE LA ENTREGA FINAL</t>
  </si>
  <si>
    <t>CRITERIO</t>
  </si>
  <si>
    <t>TENDENCIA</t>
  </si>
  <si>
    <t>LINEAL</t>
  </si>
  <si>
    <t>SECTOR O ESTRATO SOCIAL EN MT2</t>
  </si>
  <si>
    <t>PREDICCION</t>
  </si>
  <si>
    <t>RENTABILIDAD</t>
  </si>
  <si>
    <t>RUTA CRITICA</t>
  </si>
  <si>
    <t>DESCONOCIMIENTO</t>
  </si>
  <si>
    <t>PRODUCTOS CRITICOS</t>
  </si>
  <si>
    <t>BAJO RENDIMIENTO</t>
  </si>
  <si>
    <t>PERDIDA DE CONFIANZA EN EL  CLIENTE</t>
  </si>
  <si>
    <t>BAJA RENTABILIDAD</t>
  </si>
  <si>
    <t>TIEMPO</t>
  </si>
  <si>
    <t>MALA PLANIFICACION Y PRESUPUESTO</t>
  </si>
  <si>
    <t>CEMENTO</t>
  </si>
  <si>
    <t>VALOR BULTO</t>
  </si>
  <si>
    <t>MESES AÑO</t>
  </si>
  <si>
    <t>HIERRO</t>
  </si>
  <si>
    <t>VALOR VARILLA DE 12 MTS</t>
  </si>
  <si>
    <t>ARENA</t>
  </si>
  <si>
    <t>MT2</t>
  </si>
  <si>
    <t>LADRILLOS</t>
  </si>
  <si>
    <t>UND</t>
  </si>
  <si>
    <t>PAÑETE</t>
  </si>
  <si>
    <t>ESTUCO</t>
  </si>
  <si>
    <t>PINTURA</t>
  </si>
  <si>
    <t>MANO OBRA</t>
  </si>
  <si>
    <t>AÑO</t>
  </si>
  <si>
    <t>SALARIO MINIMO LEGAL</t>
  </si>
  <si>
    <t>VALOR MT2</t>
  </si>
  <si>
    <t>VALOR MT2 SEGÚN ESTRATO SOCIAL BAJO</t>
  </si>
  <si>
    <t>VALOR MT2 SEGÚN ESTRATO SOCIAL MEDIO</t>
  </si>
  <si>
    <t>VALOR MT2 SEGÚN ESTRATO SOCIAL ALTO</t>
  </si>
  <si>
    <t>MANO DE OBRA</t>
  </si>
  <si>
    <t>CODIGO</t>
  </si>
  <si>
    <t>NUMERO</t>
  </si>
  <si>
    <t>CANTIDAD</t>
  </si>
  <si>
    <t>V/R  UND</t>
  </si>
  <si>
    <t>ETAPA DE LA CONSTRUCCION</t>
  </si>
  <si>
    <t>FECHA</t>
  </si>
  <si>
    <t>?</t>
  </si>
  <si>
    <t>NECESITO UN ALGORITMO CON RETORNO DE DATOS HISTORICOS</t>
  </si>
  <si>
    <t>LADRILLO</t>
  </si>
  <si>
    <t>VARILLA DE 12 MTS</t>
  </si>
  <si>
    <t>ESTRUCTURA</t>
  </si>
  <si>
    <t>EST1</t>
  </si>
  <si>
    <t>EST2</t>
  </si>
  <si>
    <t>EST3</t>
  </si>
  <si>
    <t>EST4</t>
  </si>
  <si>
    <t>MATRIZ</t>
  </si>
  <si>
    <t>CONCEPTO</t>
  </si>
  <si>
    <t>IMPORTE</t>
  </si>
  <si>
    <t>MT 2</t>
  </si>
  <si>
    <t>DESPLIEGUE</t>
  </si>
  <si>
    <t>VARIANTES</t>
  </si>
  <si>
    <t>MACHINE LEARNING</t>
  </si>
  <si>
    <t>DEEP LEARNING</t>
  </si>
  <si>
    <t>SUPERVISADO</t>
  </si>
  <si>
    <t>CONVULCIONALES</t>
  </si>
  <si>
    <t>RECURRENTES</t>
  </si>
  <si>
    <t>IA  ANALITICA</t>
  </si>
  <si>
    <t>COMPRAS EN EL PRESUPUESTO</t>
  </si>
  <si>
    <t>OBJETIVO /EXPECTATIVA</t>
  </si>
  <si>
    <t>PROCESO</t>
  </si>
  <si>
    <t>SACO</t>
  </si>
  <si>
    <t>VARIABLES INDEPENDIENTES o PREDICTIVAS</t>
  </si>
  <si>
    <t>MAL PRESUPUESTO INICIAL</t>
  </si>
  <si>
    <t>PRESUPUESTO ADECUADO EMPLEANDO MODELOS IA</t>
  </si>
  <si>
    <t>MODELO IA</t>
  </si>
  <si>
    <t>VALOR</t>
  </si>
  <si>
    <t>VARILLA 12 MTS</t>
  </si>
  <si>
    <t>INCREMENTO</t>
  </si>
  <si>
    <t xml:space="preserve">UND </t>
  </si>
  <si>
    <t xml:space="preserve">% </t>
  </si>
  <si>
    <t>MT3</t>
  </si>
  <si>
    <t>PROMEDIO</t>
  </si>
  <si>
    <t>def codifica_cualitativo (porcentaje):</t>
  </si>
  <si>
    <t xml:space="preserve">    if(porcentaje&gt;80):</t>
  </si>
  <si>
    <t xml:space="preserve">        incremento="malo"</t>
  </si>
  <si>
    <t xml:space="preserve">    elif(porcentaje&gt;50):</t>
  </si>
  <si>
    <t xml:space="preserve">        incremento="regular"</t>
  </si>
  <si>
    <t xml:space="preserve">    elif(porcentaje&gt;30):</t>
  </si>
  <si>
    <t xml:space="preserve">        incremento="bueno"</t>
  </si>
  <si>
    <t xml:space="preserve">    else:</t>
  </si>
  <si>
    <t xml:space="preserve">        incremento="exelente"</t>
  </si>
  <si>
    <t xml:space="preserve">    return incremento</t>
  </si>
  <si>
    <t>mi_porcentaje=18</t>
  </si>
  <si>
    <t>mi_incremento=codifica_cualitativo(mi_porcentaje)</t>
  </si>
  <si>
    <t>print(mi_incremento)</t>
  </si>
  <si>
    <t xml:space="preserve"> SUPERVISADO</t>
  </si>
  <si>
    <t>DATOS DE INGRESO A LAS VARIABLES</t>
  </si>
  <si>
    <t>CAMBIO DE MAYOR PRECIO EN EL TIEMPO</t>
  </si>
  <si>
    <t>ANALISIS DATOS EXPLORATORIOS</t>
  </si>
  <si>
    <t>#incremento de materiales en 15 años</t>
  </si>
  <si>
    <t>#analisis de datos exploratorios</t>
  </si>
  <si>
    <t>def incremento(lvf, lvi):</t>
  </si>
  <si>
    <t>    lincre=(lvf-lvi)/lvi*100</t>
  </si>
  <si>
    <t>    return lincre</t>
  </si>
  <si>
    <t>vi=2.50</t>
  </si>
  <si>
    <t>vf=6.50</t>
  </si>
  <si>
    <t>incre=incremento(vf, vi)</t>
  </si>
  <si>
    <t>print ("cemento_incremento:",incre)</t>
  </si>
  <si>
    <t>vi=4.50</t>
  </si>
  <si>
    <t>vf=14.20</t>
  </si>
  <si>
    <t>print ("hierro_incremento:",incre)</t>
  </si>
  <si>
    <t>vi=9</t>
  </si>
  <si>
    <t>vf=30</t>
  </si>
  <si>
    <t>print ("arena_incremento:",incre)</t>
  </si>
  <si>
    <t>vi=0.20</t>
  </si>
  <si>
    <t>vf=0.65</t>
  </si>
  <si>
    <t>print ("ladrillo_incremento:",incre)</t>
  </si>
  <si>
    <t>vi=3.10</t>
  </si>
  <si>
    <t>vf=3.89</t>
  </si>
  <si>
    <t>print ("pañete_incremento:",incre)</t>
  </si>
  <si>
    <t>vi=3</t>
  </si>
  <si>
    <t>vf=8.99</t>
  </si>
  <si>
    <t>print ("estuco_incremento:",incre)</t>
  </si>
  <si>
    <t>vi=30</t>
  </si>
  <si>
    <t>vf=52</t>
  </si>
  <si>
    <t>print ("pintura_incremento:",incre)</t>
  </si>
  <si>
    <t>PS C:\Users\AyF Contratistas\Desktop\CURSO IA&gt; &amp; "C:/Users/AyF Contratistas/AppData/Local/Programs/Python/Python314/python.exe" "c:/Users/AyF Contratistas/Desktop/CURSO IA/PROYECTO/incrementoproyec.py"</t>
  </si>
  <si>
    <t>cemento_incremento: 160.0</t>
  </si>
  <si>
    <t>hierro_incremento: 215.55555555555554</t>
  </si>
  <si>
    <t>arena_incremento: 233.33333333333334</t>
  </si>
  <si>
    <t>ladrillo_incremento: 225.0</t>
  </si>
  <si>
    <t>pañete_incremento: 25.483870967741932</t>
  </si>
  <si>
    <t>estuco_incremento: 199.66666666666669</t>
  </si>
  <si>
    <t>pintura_incremento: 73.33333333333333</t>
  </si>
  <si>
    <t xml:space="preserve">PS C:\Users\AyF Contratistas\Desktop\CURSO IA&gt; 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</si>
  <si>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</si>
  <si>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</si>
  <si>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</si>
  <si>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</si>
  <si>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</si>
  <si>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</si>
  <si>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</si>
  <si>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</si>
  <si>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</si>
  <si>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</si>
  <si>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</si>
  <si>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</si>
  <si>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</si>
  <si>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</si>
  <si>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</si>
  <si>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</si>
  <si>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</si>
  <si>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</si>
  <si>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</si>
  <si>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</si>
  <si>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</si>
  <si>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</si>
  <si>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</si>
  <si>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</si>
  <si>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</si>
  <si>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</si>
  <si>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</si>
  <si>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</si>
  <si>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</si>
  <si>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</si>
  <si>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</si>
  <si>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</si>
  <si>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</si>
  <si>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</si>
  <si>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</si>
  <si>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</si>
  <si>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</si>
  <si>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</si>
  <si>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</si>
  <si>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</si>
  <si>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</si>
  <si>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</si>
  <si>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</si>
  <si>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</si>
  <si>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</si>
  <si>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</si>
  <si>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</si>
  <si>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</si>
  <si>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</si>
  <si>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</si>
  <si>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</si>
  <si>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</si>
  <si>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</si>
  <si>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</si>
  <si>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</si>
  <si>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</si>
  <si>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</si>
  <si>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</si>
  <si>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</si>
  <si>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</si>
  <si>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</si>
  <si>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</si>
  <si>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</si>
  <si>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</si>
  <si>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</si>
  <si>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</si>
  <si>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</si>
  <si>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</si>
  <si>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</si>
  <si>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</si>
  <si>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</si>
  <si>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</si>
  <si>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</si>
  <si>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</si>
  <si>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</si>
  <si>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</si>
  <si>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</si>
  <si>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</si>
  <si>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</si>
  <si>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</si>
  <si>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</si>
  <si>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</si>
  <si>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</si>
  <si>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</si>
  <si>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</si>
  <si>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</si>
  <si>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</si>
  <si>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</si>
  <si>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</si>
  <si>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</si>
  <si>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</si>
  <si>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</si>
  <si>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</si>
  <si>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</si>
  <si>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</si>
  <si>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</si>
  <si>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</si>
  <si>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</si>
  <si>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</si>
  <si>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</si>
  <si>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</si>
  <si>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</si>
  <si>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</si>
  <si>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</si>
  <si>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</si>
  <si>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</si>
  <si>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</si>
  <si>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</si>
  <si>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PRECIO</t>
  </si>
  <si>
    <t>ESTIMADO</t>
  </si>
  <si>
    <t>ECUACION DE RECTA ESTIMADA</t>
  </si>
  <si>
    <t>X=AÑOS</t>
  </si>
  <si>
    <t>FORMULA</t>
  </si>
  <si>
    <t>FORMULA=AÑOS*PENDIENTE+INTERCEPTO</t>
  </si>
  <si>
    <t>ERROR</t>
  </si>
  <si>
    <t>AÑOS</t>
  </si>
  <si>
    <t>MIN</t>
  </si>
  <si>
    <t>MAX</t>
  </si>
  <si>
    <t>Y=PENDIENTE</t>
  </si>
  <si>
    <t>y=INTERCEPTO</t>
  </si>
  <si>
    <t>RANGO</t>
  </si>
  <si>
    <t xml:space="preserve">PROMEDIO PRECIO= 9 AÑOS </t>
  </si>
  <si>
    <t>PROMEDIO AJUSTADO AL RANGO</t>
  </si>
  <si>
    <t>MAX - MIN</t>
  </si>
  <si>
    <t>RESUMEN ANUAL DE DATOS (9AÑOS) PRECIO PRODUCTO</t>
  </si>
  <si>
    <t>Porciento del promedio en el rango</t>
  </si>
  <si>
    <t>PROMEDIO (MENOS)</t>
  </si>
  <si>
    <t>(dividido)</t>
  </si>
  <si>
    <t>Intervalos</t>
  </si>
  <si>
    <t>Amplitud</t>
  </si>
  <si>
    <t>Bajo</t>
  </si>
  <si>
    <t>Regular</t>
  </si>
  <si>
    <t>Bueno</t>
  </si>
  <si>
    <t>Exclente</t>
  </si>
  <si>
    <t>CATEGORIA</t>
  </si>
  <si>
    <t>MIN + AMPLITUD</t>
  </si>
  <si>
    <t>MAX + AMPLITUD</t>
  </si>
  <si>
    <t>FR</t>
  </si>
  <si>
    <t>FA</t>
  </si>
  <si>
    <t>FRECUENCIA ABSOLUTA</t>
  </si>
  <si>
    <t>FRECUENCIA RELATIVA</t>
  </si>
  <si>
    <t>FRECUENCIA ACUMULADA</t>
  </si>
  <si>
    <t>SUMATORIAS FRECUENCIAS</t>
  </si>
  <si>
    <t>CONTAR CUANTOS 1,2,3,4</t>
  </si>
  <si>
    <t>FR + FA</t>
  </si>
  <si>
    <t>IGUALES</t>
  </si>
  <si>
    <t>POSICION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</si>
  <si>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</si>
  <si>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</si>
  <si>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</si>
  <si>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</si>
  <si>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</si>
  <si>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</si>
  <si>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</si>
  <si>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</si>
  <si>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</si>
  <si>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</si>
  <si>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</si>
  <si>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</si>
  <si>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</si>
  <si>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Mayor (1)</t>
  </si>
  <si>
    <t>Menor(1)</t>
  </si>
  <si>
    <t>Nivel de confianza(95,0%)</t>
  </si>
  <si>
    <t>INCRE_ ABS</t>
  </si>
  <si>
    <t>precio a cierre de año</t>
  </si>
  <si>
    <t>INFLA-mes_PRECIO</t>
  </si>
  <si>
    <t xml:space="preserve">INCREMENTO </t>
  </si>
  <si>
    <t>DICIEMBRE</t>
  </si>
  <si>
    <t>PROMEDIOS</t>
  </si>
  <si>
    <t>inflacion anual españa %</t>
  </si>
  <si>
    <t>precio cierre  AÑO 2024</t>
  </si>
  <si>
    <t>GRAFICO DE BIGOTES O CAJA</t>
  </si>
  <si>
    <t>LI</t>
  </si>
  <si>
    <t>LS</t>
  </si>
  <si>
    <t>NUMERO DE CLASES EJMPLO:BUENO,MALO,REGULAR</t>
  </si>
  <si>
    <t>RANGO (DIVIDIDO)    INTERVALOS</t>
  </si>
  <si>
    <t>FACUM</t>
  </si>
  <si>
    <t xml:space="preserve">FA  /  SUMATORIA FA  </t>
  </si>
  <si>
    <t>ANALISIS DE DATOS DE CIERRE DE AÑO</t>
  </si>
  <si>
    <t>CLASE</t>
  </si>
  <si>
    <t>clase</t>
  </si>
  <si>
    <t>niveles</t>
  </si>
  <si>
    <t>li</t>
  </si>
  <si>
    <t>ls</t>
  </si>
  <si>
    <t>fa</t>
  </si>
  <si>
    <t>fr</t>
  </si>
  <si>
    <t>total</t>
  </si>
  <si>
    <t>ANALISIS EXPLORATORIO</t>
  </si>
  <si>
    <t>i alto</t>
  </si>
  <si>
    <t>i muy alto</t>
  </si>
  <si>
    <t>No. CLASE</t>
  </si>
  <si>
    <t>AMPLITUD</t>
  </si>
  <si>
    <t>i medio</t>
  </si>
  <si>
    <t>i bajo</t>
  </si>
  <si>
    <t>INFLACIONCEMENTO</t>
  </si>
  <si>
    <t>i muy bajo</t>
  </si>
  <si>
    <t>INFLACION ARENA</t>
  </si>
  <si>
    <t>INFLACION HIERRO</t>
  </si>
  <si>
    <t>INFLACION LADRILLO</t>
  </si>
  <si>
    <t>No.</t>
  </si>
  <si>
    <t>MODA</t>
  </si>
  <si>
    <t>MEDIA</t>
  </si>
  <si>
    <t>MEDIANA</t>
  </si>
  <si>
    <t>MEDIA DATOS</t>
  </si>
  <si>
    <t>NIVEL INFLACION</t>
  </si>
  <si>
    <t>ANALISIS DE DATOS DEL PRECIO 2016 / 2024</t>
  </si>
  <si>
    <t>INFLACION PAIS FR</t>
  </si>
  <si>
    <t>FR CEMENTO</t>
  </si>
  <si>
    <t>FR ARENA</t>
  </si>
  <si>
    <t>FR HIERRO</t>
  </si>
  <si>
    <t>FR LADRILLO</t>
  </si>
  <si>
    <t>FR INF PAIS</t>
  </si>
  <si>
    <t>GRAFICAS DE TENDENCIA</t>
  </si>
  <si>
    <t>PREC CEMENTO y INF ESPAÑA</t>
  </si>
  <si>
    <t>DIFERENCIA</t>
  </si>
  <si>
    <t>r2</t>
  </si>
  <si>
    <t>fr cemento</t>
  </si>
  <si>
    <t>fr arena</t>
  </si>
  <si>
    <t>fr hierro</t>
  </si>
  <si>
    <t>fr ladrillo</t>
  </si>
  <si>
    <t>producto</t>
  </si>
  <si>
    <t>TIENE LA RELACION MAS ALTA CON LA FR INFLACION DEL PAIS</t>
  </si>
  <si>
    <t>variacion del precio vs inflacion</t>
  </si>
  <si>
    <t>y = -33,815(0,14^2) + 9,3772*0,14 - 0,3471</t>
  </si>
  <si>
    <r>
      <t>y = -33,815x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+ 9,3772x - 0,3471</t>
    </r>
  </si>
  <si>
    <r>
      <t>y = -7,0708x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+ 2,3774x + 0,0278</t>
    </r>
  </si>
  <si>
    <r>
      <t>y = 6,9594x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- 2,6235x + 0,4088</t>
    </r>
  </si>
  <si>
    <r>
      <t>y = 17,76x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- 4,9636x + 0,4927</t>
    </r>
  </si>
  <si>
    <t>DATO PREDICTIVO</t>
  </si>
  <si>
    <t xml:space="preserve">Y </t>
  </si>
  <si>
    <t>PREDICTIVA</t>
  </si>
  <si>
    <t>x=</t>
  </si>
  <si>
    <t>PREDICCION CEMENTO CUANDO LA INFLACION ESTE EN EL % DESEADO</t>
  </si>
  <si>
    <t>PREDICCION ARENA CUANDO LA INFLACION ESTE EN EL % DESEADO</t>
  </si>
  <si>
    <t>PREDICCION HIERRO CUANDO LA INFLACION ESTE EN EL % DESEADO</t>
  </si>
  <si>
    <t>PREDICCION LADRILLO CUANDO LA INFLACION ESTE EN EL % DESEADO</t>
  </si>
  <si>
    <t>MEDIA INF PAIS</t>
  </si>
  <si>
    <t>PRODUCTO</t>
  </si>
  <si>
    <r>
      <t>y = 0,0037x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- 14,898x + 15036</t>
    </r>
  </si>
  <si>
    <t>PREDICCION CEMENTO A 4 AÑOS CUANDO LA INFLACION ESTA A CIERRE DEL 2024</t>
  </si>
  <si>
    <r>
      <t>y = 0,0037x</t>
    </r>
    <r>
      <rPr>
        <vertAlign val="superscript"/>
        <sz val="10.5"/>
        <color theme="1"/>
        <rFont val="Calibri"/>
        <family val="2"/>
        <scheme val="minor"/>
      </rPr>
      <t>2</t>
    </r>
    <r>
      <rPr>
        <sz val="10.5"/>
        <color theme="1"/>
        <rFont val="Calibri"/>
        <family val="2"/>
        <scheme val="minor"/>
      </rPr>
      <t xml:space="preserve"> - 14,898x + 15036</t>
    </r>
  </si>
  <si>
    <t>2 VARIABLES</t>
  </si>
  <si>
    <t>3 VARIABLES</t>
  </si>
  <si>
    <r>
      <t>= 0,0075x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- 30,361x + 30686</t>
    </r>
  </si>
  <si>
    <r>
      <t>y = 0,0043x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- 17,358x + 17523</t>
    </r>
  </si>
  <si>
    <t>FR PRODUCTO</t>
  </si>
  <si>
    <t>VD</t>
  </si>
  <si>
    <t>VI</t>
  </si>
  <si>
    <t>VI(1)</t>
  </si>
  <si>
    <t>VI(2)</t>
  </si>
  <si>
    <t>SABER EN EL TIEMPO EL AUMENTO DE LOS PRECIOS DE UN PRODUCTO DEPENDIENDO DE LA INFLACION DEL APIS</t>
  </si>
  <si>
    <t>PRESUPUESTO: COSTOS INICIALES VS COSTOS FINALES DE UN PRODUCTO</t>
  </si>
  <si>
    <t>ALTOS COSTOS POR LA INFLACION DEL PAIS</t>
  </si>
  <si>
    <t>COSTO DE UN PRODUCTO EN EL TIEMPO</t>
  </si>
  <si>
    <t>MEDIA DE INCREMENTO PRECIO</t>
  </si>
  <si>
    <t>INCRE_ producto</t>
  </si>
  <si>
    <t>fr CEMENTO %</t>
  </si>
  <si>
    <t>fr ARENA%</t>
  </si>
  <si>
    <t>fr HIERRO%</t>
  </si>
  <si>
    <t>fr LADRILLO%</t>
  </si>
  <si>
    <t>fr INF PAIS%</t>
  </si>
  <si>
    <t>años</t>
  </si>
  <si>
    <t>nivel</t>
  </si>
  <si>
    <t>inf_ cemento</t>
  </si>
  <si>
    <t>fr cemento 2024</t>
  </si>
  <si>
    <t>fr arena 2024</t>
  </si>
  <si>
    <t>fr hierro 2024</t>
  </si>
  <si>
    <t>fr ladrillo 2024</t>
  </si>
  <si>
    <t>MEDIA FR PRODUCTO</t>
  </si>
  <si>
    <t>MEDIA PROM INF PAIS</t>
  </si>
  <si>
    <t>inf_ arena</t>
  </si>
  <si>
    <t>inf_ hierro</t>
  </si>
  <si>
    <t>inf_ ladrillo</t>
  </si>
  <si>
    <t># importar librerías</t>
  </si>
  <si>
    <t>import pandas as pd</t>
  </si>
  <si>
    <t>from sklearn.linear_model import LinearRegression</t>
  </si>
  <si>
    <t>import matplotlib.pyplot as plt</t>
  </si>
  <si>
    <t># cargar los datos</t>
  </si>
  <si>
    <t>df = pd.read_csv("inflacion_materiales.csv")</t>
  </si>
  <si>
    <t># variable independiente (inflación del país)</t>
  </si>
  <si>
    <t>X = df[["FR_INF_PAIS"]]</t>
  </si>
  <si>
    <t># variables dependientes (inflación por material)</t>
  </si>
  <si>
    <t>materiales = ["FR_CEMENTO", "FR_ARENA", "FR_HIERRO", "FR_LADRILLO"]</t>
  </si>
  <si>
    <t># crear modelo y graficar cada material</t>
  </si>
  <si>
    <t>for material in materiales:</t>
  </si>
  <si>
    <t xml:space="preserve">    y = df[material]</t>
  </si>
  <si>
    <t xml:space="preserve">    modelo = LinearRegression()</t>
  </si>
  <si>
    <t xml:space="preserve">    modelo.fit(X, y)</t>
  </si>
  <si>
    <t xml:space="preserve">    pred = modelo.predict(X)</t>
  </si>
  <si>
    <t xml:space="preserve">    </t>
  </si>
  <si>
    <t xml:space="preserve">    print(f"\nMaterial: {material}")</t>
  </si>
  <si>
    <t xml:space="preserve">    print(f"Coeficiente: {modelo.coef_[0]:.2f}")</t>
  </si>
  <si>
    <t xml:space="preserve">    print(f"Intercepto: {modelo.intercept_:.2f}")</t>
  </si>
  <si>
    <t xml:space="preserve">    print(f"R²: {modelo.score(X, y):.2f}")</t>
  </si>
  <si>
    <t xml:space="preserve">    # gráfica</t>
  </si>
  <si>
    <t xml:space="preserve">    plt.scatter(X, y, label="Datos reales")</t>
  </si>
  <si>
    <t xml:space="preserve">    plt.plot(X, pred, color='red', label="Línea de regresión")</t>
  </si>
  <si>
    <t xml:space="preserve">    plt.title(f"Inflación País vs {material}")</t>
  </si>
  <si>
    <t xml:space="preserve">    plt.xlabel("Inflación País (%)")</t>
  </si>
  <si>
    <t xml:space="preserve">    plt.ylabel(f"{material} (%)")</t>
  </si>
  <si>
    <t xml:space="preserve">    plt.legend()</t>
  </si>
  <si>
    <t xml:space="preserve">    plt.show()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</si>
</sst>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€-2]\ * #,##0.00_-;\-[$€-2]\ * #,##0.00_-;_-[$€-2]\ * &quot;-&quot;??_-;_-@_-"/>
    <numFmt numFmtId="165" formatCode="_-[$€-2]\ * #,##0.00_-;\-[$€-2]\ * #,##0.00_-;_-[$€-2]\ * &quot;-&quot;???_-;_-@_-"/>
    <numFmt numFmtId="166" formatCode="0.0000E+00"/>
    <numFmt numFmtId="167" formatCode="_-[$€-2]\ * #,##0.0_-;\-[$€-2]\ * #,##0.0_-;_-[$€-2]\ * &quot;-&quot;??_-;_-@_-"/>
    <numFmt numFmtId="168" formatCode="#,##0.0000"/>
  </numFmts>
  <fonts count="75" x14ac:knownFonts="1">
    <font>
      <sz val="11"/>
      <color theme="1"/>
      <name val="Calibri"/>
      <family val="2"/>
      <scheme val="minor"/>
    </font>
    <font>
      <b/>
      <sz val="20"/>
      <color rgb="FFFF0000"/>
      <name val="Arial"/>
      <family val="2"/>
    </font>
    <font>
      <sz val="11"/>
      <color theme="1"/>
      <name val="Arial"/>
      <family val="2"/>
    </font>
    <font>
      <b/>
      <sz val="20"/>
      <color rgb="FFFFFF00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4"/>
      <color rgb="FFFFFF00"/>
      <name val="Arial"/>
      <family val="2"/>
    </font>
    <font>
      <b/>
      <sz val="14"/>
      <color rgb="FFFFFF00"/>
      <name val="Arial"/>
      <family val="2"/>
    </font>
    <font>
      <sz val="12"/>
      <color theme="1"/>
      <name val="Arial"/>
      <family val="2"/>
    </font>
    <font>
      <b/>
      <sz val="16"/>
      <color rgb="FFFFFF00"/>
      <name val="Arial"/>
      <family val="2"/>
    </font>
    <font>
      <b/>
      <sz val="18"/>
      <color theme="1"/>
      <name val="Arial"/>
      <family val="2"/>
    </font>
    <font>
      <b/>
      <sz val="22"/>
      <color theme="1"/>
      <name val="Arial"/>
      <family val="2"/>
    </font>
    <font>
      <sz val="11"/>
      <color rgb="FFFFFF00"/>
      <name val="Arial"/>
      <family val="2"/>
    </font>
    <font>
      <b/>
      <sz val="28"/>
      <color theme="1"/>
      <name val="Arial"/>
      <family val="2"/>
    </font>
    <font>
      <b/>
      <sz val="26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72"/>
      <color rgb="FFFFFF00"/>
      <name val="Arial"/>
      <family val="2"/>
    </font>
    <font>
      <b/>
      <sz val="36"/>
      <color rgb="FFFF0000"/>
      <name val="Arial"/>
      <family val="2"/>
    </font>
    <font>
      <b/>
      <sz val="36"/>
      <color theme="1"/>
      <name val="Arial"/>
      <family val="2"/>
    </font>
    <font>
      <sz val="22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28"/>
      <color rgb="FFFF0000"/>
      <name val="Arial"/>
      <family val="2"/>
    </font>
    <font>
      <sz val="11"/>
      <name val="Consolas"/>
      <family val="3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6600FF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u/>
      <sz val="22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vertAlign val="superscript"/>
      <sz val="10.5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9F092"/>
        <bgColor indexed="64"/>
      </patternFill>
    </fill>
    <fill>
      <patternFill patternType="solid">
        <fgColor theme="7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23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44" applyNumberFormat="0" applyFill="0" applyAlignment="0" applyProtection="0"/>
    <xf numFmtId="0" fontId="37" fillId="0" borderId="45" applyNumberFormat="0" applyFill="0" applyAlignment="0" applyProtection="0"/>
    <xf numFmtId="0" fontId="38" fillId="0" borderId="46" applyNumberFormat="0" applyFill="0" applyAlignment="0" applyProtection="0"/>
    <xf numFmtId="0" fontId="38" fillId="0" borderId="0" applyNumberFormat="0" applyFill="0" applyBorder="0" applyAlignment="0" applyProtection="0"/>
    <xf numFmtId="0" fontId="39" fillId="21" borderId="0" applyNumberFormat="0" applyBorder="0" applyAlignment="0" applyProtection="0"/>
    <xf numFmtId="0" fontId="40" fillId="22" borderId="0" applyNumberFormat="0" applyBorder="0" applyAlignment="0" applyProtection="0"/>
    <xf numFmtId="0" fontId="41" fillId="24" borderId="47" applyNumberFormat="0" applyAlignment="0" applyProtection="0"/>
    <xf numFmtId="0" fontId="42" fillId="25" borderId="48" applyNumberFormat="0" applyAlignment="0" applyProtection="0"/>
    <xf numFmtId="0" fontId="43" fillId="25" borderId="47" applyNumberFormat="0" applyAlignment="0" applyProtection="0"/>
    <xf numFmtId="0" fontId="44" fillId="0" borderId="49" applyNumberFormat="0" applyFill="0" applyAlignment="0" applyProtection="0"/>
    <xf numFmtId="0" fontId="45" fillId="26" borderId="50" applyNumberFormat="0" applyAlignment="0" applyProtection="0"/>
    <xf numFmtId="0" fontId="46" fillId="0" borderId="0" applyNumberFormat="0" applyFill="0" applyBorder="0" applyAlignment="0" applyProtection="0"/>
    <xf numFmtId="0" fontId="23" fillId="27" borderId="51" applyNumberFormat="0" applyFont="0" applyAlignment="0" applyProtection="0"/>
    <xf numFmtId="0" fontId="47" fillId="0" borderId="0" applyNumberFormat="0" applyFill="0" applyBorder="0" applyAlignment="0" applyProtection="0"/>
    <xf numFmtId="0" fontId="28" fillId="0" borderId="52" applyNumberFormat="0" applyFill="0" applyAlignment="0" applyProtection="0"/>
    <xf numFmtId="0" fontId="48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8" fillId="32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48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48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48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48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50" borderId="0" applyNumberFormat="0" applyBorder="0" applyAlignment="0" applyProtection="0"/>
    <xf numFmtId="0" fontId="50" fillId="23" borderId="0" applyNumberFormat="0" applyBorder="0" applyAlignment="0" applyProtection="0"/>
    <xf numFmtId="0" fontId="23" fillId="31" borderId="0" applyNumberFormat="0" applyBorder="0" applyAlignment="0" applyProtection="0"/>
    <xf numFmtId="0" fontId="23" fillId="35" borderId="0" applyNumberFormat="0" applyBorder="0" applyAlignment="0" applyProtection="0"/>
    <xf numFmtId="0" fontId="23" fillId="39" borderId="0" applyNumberFormat="0" applyBorder="0" applyAlignment="0" applyProtection="0"/>
    <xf numFmtId="0" fontId="23" fillId="43" borderId="0" applyNumberFormat="0" applyBorder="0" applyAlignment="0" applyProtection="0"/>
    <xf numFmtId="0" fontId="23" fillId="47" borderId="0" applyNumberFormat="0" applyBorder="0" applyAlignment="0" applyProtection="0"/>
    <xf numFmtId="0" fontId="23" fillId="51" borderId="0" applyNumberFormat="0" applyBorder="0" applyAlignment="0" applyProtection="0"/>
  </cellStyleXfs>
  <cellXfs count="570">
    <xf numFmtId="0" fontId="0" fillId="0" borderId="0" xfId="0"/>
    <xf numFmtId="0" fontId="2" fillId="0" borderId="0" xfId="0" applyFont="1"/>
    <xf numFmtId="0" fontId="7" fillId="0" borderId="0" xfId="0" applyFont="1"/>
    <xf numFmtId="0" fontId="7" fillId="0" borderId="0" xfId="0" applyFont="1" applyBorder="1"/>
    <xf numFmtId="0" fontId="7" fillId="0" borderId="31" xfId="0" applyFont="1" applyBorder="1"/>
    <xf numFmtId="0" fontId="7" fillId="0" borderId="30" xfId="0" applyFont="1" applyBorder="1"/>
    <xf numFmtId="2" fontId="11" fillId="0" borderId="1" xfId="0" applyNumberFormat="1" applyFont="1" applyBorder="1"/>
    <xf numFmtId="0" fontId="11" fillId="0" borderId="1" xfId="0" applyFont="1" applyBorder="1"/>
    <xf numFmtId="0" fontId="8" fillId="0" borderId="11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/>
    <xf numFmtId="0" fontId="15" fillId="12" borderId="0" xfId="0" applyFont="1" applyFill="1"/>
    <xf numFmtId="0" fontId="11" fillId="6" borderId="1" xfId="0" applyFont="1" applyFill="1" applyBorder="1"/>
    <xf numFmtId="0" fontId="11" fillId="6" borderId="17" xfId="0" applyFont="1" applyFill="1" applyBorder="1"/>
    <xf numFmtId="0" fontId="5" fillId="0" borderId="0" xfId="0" applyFont="1"/>
    <xf numFmtId="0" fontId="4" fillId="0" borderId="0" xfId="0" applyFont="1" applyBorder="1" applyAlignment="1">
      <alignment horizontal="center" vertical="center"/>
    </xf>
    <xf numFmtId="0" fontId="22" fillId="0" borderId="0" xfId="0" applyFont="1"/>
    <xf numFmtId="0" fontId="25" fillId="0" borderId="0" xfId="0" applyFont="1"/>
    <xf numFmtId="0" fontId="25" fillId="14" borderId="1" xfId="0" applyFont="1" applyFill="1" applyBorder="1" applyAlignment="1">
      <alignment horizontal="center"/>
    </xf>
    <xf numFmtId="0" fontId="25" fillId="14" borderId="1" xfId="0" applyFont="1" applyFill="1" applyBorder="1"/>
    <xf numFmtId="0" fontId="25" fillId="16" borderId="1" xfId="0" applyFont="1" applyFill="1" applyBorder="1"/>
    <xf numFmtId="0" fontId="25" fillId="11" borderId="1" xfId="0" applyFont="1" applyFill="1" applyBorder="1"/>
    <xf numFmtId="0" fontId="25" fillId="17" borderId="1" xfId="0" applyFont="1" applyFill="1" applyBorder="1"/>
    <xf numFmtId="0" fontId="25" fillId="18" borderId="1" xfId="0" applyFont="1" applyFill="1" applyBorder="1"/>
    <xf numFmtId="0" fontId="24" fillId="0" borderId="1" xfId="0" applyFont="1" applyBorder="1" applyAlignment="1">
      <alignment horizontal="center"/>
    </xf>
    <xf numFmtId="0" fontId="25" fillId="13" borderId="1" xfId="0" applyFont="1" applyFill="1" applyBorder="1" applyAlignment="1">
      <alignment horizontal="center"/>
    </xf>
    <xf numFmtId="0" fontId="26" fillId="15" borderId="1" xfId="0" applyFont="1" applyFill="1" applyBorder="1" applyAlignment="1">
      <alignment horizontal="center"/>
    </xf>
    <xf numFmtId="0" fontId="26" fillId="16" borderId="1" xfId="0" applyFont="1" applyFill="1" applyBorder="1" applyAlignment="1">
      <alignment horizontal="center"/>
    </xf>
    <xf numFmtId="0" fontId="26" fillId="11" borderId="1" xfId="0" applyFont="1" applyFill="1" applyBorder="1" applyAlignment="1">
      <alignment horizontal="center"/>
    </xf>
    <xf numFmtId="0" fontId="26" fillId="17" borderId="1" xfId="0" applyFont="1" applyFill="1" applyBorder="1" applyAlignment="1">
      <alignment horizontal="center"/>
    </xf>
    <xf numFmtId="0" fontId="26" fillId="18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16" borderId="1" xfId="0" applyFont="1" applyFill="1" applyBorder="1" applyAlignment="1">
      <alignment horizontal="center"/>
    </xf>
    <xf numFmtId="0" fontId="25" fillId="11" borderId="1" xfId="0" applyFont="1" applyFill="1" applyBorder="1" applyAlignment="1">
      <alignment horizontal="center"/>
    </xf>
    <xf numFmtId="0" fontId="25" fillId="17" borderId="1" xfId="0" applyFont="1" applyFill="1" applyBorder="1" applyAlignment="1">
      <alignment horizontal="center"/>
    </xf>
    <xf numFmtId="0" fontId="25" fillId="18" borderId="1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164" fontId="25" fillId="13" borderId="1" xfId="0" applyNumberFormat="1" applyFont="1" applyFill="1" applyBorder="1"/>
    <xf numFmtId="9" fontId="25" fillId="13" borderId="1" xfId="1" applyFont="1" applyFill="1" applyBorder="1" applyAlignment="1">
      <alignment horizontal="center"/>
    </xf>
    <xf numFmtId="9" fontId="25" fillId="13" borderId="1" xfId="1" applyNumberFormat="1" applyFont="1" applyFill="1" applyBorder="1" applyAlignment="1">
      <alignment horizontal="center"/>
    </xf>
    <xf numFmtId="164" fontId="25" fillId="14" borderId="1" xfId="0" applyNumberFormat="1" applyFont="1" applyFill="1" applyBorder="1"/>
    <xf numFmtId="0" fontId="27" fillId="0" borderId="0" xfId="0" applyFont="1"/>
    <xf numFmtId="164" fontId="26" fillId="15" borderId="1" xfId="0" applyNumberFormat="1" applyFont="1" applyFill="1" applyBorder="1"/>
    <xf numFmtId="9" fontId="26" fillId="15" borderId="1" xfId="1" applyFont="1" applyFill="1" applyBorder="1"/>
    <xf numFmtId="164" fontId="25" fillId="16" borderId="1" xfId="0" applyNumberFormat="1" applyFont="1" applyFill="1" applyBorder="1"/>
    <xf numFmtId="0" fontId="24" fillId="2" borderId="0" xfId="0" applyFont="1" applyFill="1"/>
    <xf numFmtId="164" fontId="24" fillId="2" borderId="0" xfId="0" applyNumberFormat="1" applyFont="1" applyFill="1"/>
    <xf numFmtId="9" fontId="24" fillId="2" borderId="0" xfId="0" applyNumberFormat="1" applyFont="1" applyFill="1" applyAlignment="1">
      <alignment horizontal="center"/>
    </xf>
    <xf numFmtId="9" fontId="25" fillId="16" borderId="1" xfId="1" applyFont="1" applyFill="1" applyBorder="1"/>
    <xf numFmtId="9" fontId="24" fillId="2" borderId="0" xfId="0" applyNumberFormat="1" applyFont="1" applyFill="1"/>
    <xf numFmtId="2" fontId="24" fillId="2" borderId="0" xfId="0" applyNumberFormat="1" applyFont="1" applyFill="1"/>
    <xf numFmtId="164" fontId="25" fillId="17" borderId="1" xfId="0" applyNumberFormat="1" applyFont="1" applyFill="1" applyBorder="1"/>
    <xf numFmtId="164" fontId="25" fillId="11" borderId="1" xfId="0" applyNumberFormat="1" applyFont="1" applyFill="1" applyBorder="1"/>
    <xf numFmtId="9" fontId="25" fillId="11" borderId="1" xfId="1" applyFont="1" applyFill="1" applyBorder="1"/>
    <xf numFmtId="9" fontId="25" fillId="14" borderId="1" xfId="1" applyNumberFormat="1" applyFont="1" applyFill="1" applyBorder="1" applyAlignment="1">
      <alignment horizontal="right"/>
    </xf>
    <xf numFmtId="9" fontId="25" fillId="17" borderId="1" xfId="1" applyFont="1" applyFill="1" applyBorder="1"/>
    <xf numFmtId="9" fontId="24" fillId="2" borderId="0" xfId="1" applyFont="1" applyFill="1"/>
    <xf numFmtId="164" fontId="25" fillId="18" borderId="1" xfId="0" applyNumberFormat="1" applyFont="1" applyFill="1" applyBorder="1"/>
    <xf numFmtId="9" fontId="25" fillId="18" borderId="1" xfId="1" applyFont="1" applyFill="1" applyBorder="1"/>
    <xf numFmtId="0" fontId="25" fillId="19" borderId="0" xfId="0" applyFont="1" applyFill="1"/>
    <xf numFmtId="0" fontId="24" fillId="9" borderId="0" xfId="0" applyFont="1" applyFill="1"/>
    <xf numFmtId="0" fontId="27" fillId="0" borderId="0" xfId="0" applyFont="1" applyBorder="1" applyAlignment="1"/>
    <xf numFmtId="0" fontId="28" fillId="2" borderId="1" xfId="0" applyFont="1" applyFill="1" applyBorder="1"/>
    <xf numFmtId="0" fontId="28" fillId="0" borderId="0" xfId="0" applyFont="1" applyAlignment="1">
      <alignment horizontal="center"/>
    </xf>
    <xf numFmtId="0" fontId="31" fillId="2" borderId="0" xfId="0" applyFont="1" applyFill="1" applyAlignment="1">
      <alignment vertical="center"/>
    </xf>
    <xf numFmtId="0" fontId="26" fillId="2" borderId="0" xfId="0" applyFont="1" applyFill="1"/>
    <xf numFmtId="0" fontId="32" fillId="2" borderId="0" xfId="0" applyFont="1" applyFill="1" applyAlignment="1">
      <alignment vertical="center"/>
    </xf>
    <xf numFmtId="0" fontId="25" fillId="4" borderId="0" xfId="0" applyFont="1" applyFill="1"/>
    <xf numFmtId="0" fontId="3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0" xfId="0" applyBorder="1"/>
    <xf numFmtId="164" fontId="0" fillId="0" borderId="0" xfId="0" applyNumberFormat="1" applyBorder="1"/>
    <xf numFmtId="0" fontId="0" fillId="0" borderId="27" xfId="0" applyBorder="1"/>
    <xf numFmtId="0" fontId="28" fillId="0" borderId="37" xfId="0" applyFont="1" applyBorder="1" applyAlignment="1">
      <alignment horizontal="center"/>
    </xf>
    <xf numFmtId="10" fontId="0" fillId="0" borderId="26" xfId="1" applyNumberFormat="1" applyFont="1" applyBorder="1" applyAlignment="1">
      <alignment horizontal="center"/>
    </xf>
    <xf numFmtId="10" fontId="0" fillId="0" borderId="31" xfId="1" applyNumberFormat="1" applyFont="1" applyBorder="1" applyAlignment="1">
      <alignment horizontal="center"/>
    </xf>
    <xf numFmtId="10" fontId="0" fillId="0" borderId="29" xfId="1" applyNumberFormat="1" applyFon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28" fillId="0" borderId="43" xfId="0" applyFont="1" applyBorder="1" applyAlignment="1">
      <alignment horizontal="center"/>
    </xf>
    <xf numFmtId="0" fontId="0" fillId="0" borderId="31" xfId="0" applyBorder="1"/>
    <xf numFmtId="0" fontId="0" fillId="0" borderId="0" xfId="0" applyBorder="1"/>
    <xf numFmtId="0" fontId="28" fillId="52" borderId="0" xfId="0" applyFont="1" applyFill="1" applyBorder="1" applyAlignment="1">
      <alignment horizontal="center"/>
    </xf>
    <xf numFmtId="0" fontId="28" fillId="19" borderId="0" xfId="0" applyFont="1" applyFill="1" applyBorder="1" applyAlignment="1">
      <alignment horizontal="center"/>
    </xf>
    <xf numFmtId="0" fontId="0" fillId="19" borderId="0" xfId="0" applyFill="1" applyBorder="1" applyAlignment="1"/>
    <xf numFmtId="0" fontId="0" fillId="0" borderId="25" xfId="0" applyBorder="1"/>
    <xf numFmtId="0" fontId="0" fillId="19" borderId="0" xfId="0" applyFill="1" applyBorder="1"/>
    <xf numFmtId="0" fontId="0" fillId="53" borderId="0" xfId="0" applyFill="1" applyBorder="1"/>
    <xf numFmtId="0" fontId="0" fillId="9" borderId="0" xfId="0" applyFill="1" applyBorder="1"/>
    <xf numFmtId="0" fontId="0" fillId="54" borderId="0" xfId="0" applyFill="1" applyBorder="1"/>
    <xf numFmtId="0" fontId="0" fillId="0" borderId="28" xfId="0" applyBorder="1"/>
    <xf numFmtId="0" fontId="0" fillId="0" borderId="29" xfId="0" applyBorder="1"/>
    <xf numFmtId="0" fontId="0" fillId="0" borderId="1" xfId="0" applyFill="1" applyBorder="1"/>
    <xf numFmtId="166" fontId="0" fillId="0" borderId="0" xfId="0" applyNumberFormat="1" applyBorder="1"/>
    <xf numFmtId="0" fontId="28" fillId="19" borderId="0" xfId="0" applyFont="1" applyFill="1" applyBorder="1"/>
    <xf numFmtId="0" fontId="0" fillId="6" borderId="0" xfId="0" applyFill="1" applyBorder="1"/>
    <xf numFmtId="0" fontId="28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8" fillId="0" borderId="40" xfId="0" applyFont="1" applyFill="1" applyBorder="1" applyAlignment="1">
      <alignment horizontal="center"/>
    </xf>
    <xf numFmtId="0" fontId="28" fillId="0" borderId="1" xfId="0" applyFont="1" applyFill="1" applyBorder="1" applyAlignment="1">
      <alignment horizontal="center"/>
    </xf>
    <xf numFmtId="0" fontId="28" fillId="15" borderId="1" xfId="0" applyFont="1" applyFill="1" applyBorder="1" applyAlignment="1">
      <alignment horizontal="center"/>
    </xf>
    <xf numFmtId="164" fontId="28" fillId="56" borderId="1" xfId="0" applyNumberFormat="1" applyFont="1" applyFill="1" applyBorder="1" applyAlignment="1">
      <alignment horizontal="center"/>
    </xf>
    <xf numFmtId="0" fontId="0" fillId="11" borderId="1" xfId="0" applyFill="1" applyBorder="1" applyAlignment="1"/>
    <xf numFmtId="0" fontId="34" fillId="20" borderId="43" xfId="0" applyFont="1" applyFill="1" applyBorder="1" applyAlignment="1">
      <alignment horizontal="center"/>
    </xf>
    <xf numFmtId="164" fontId="34" fillId="20" borderId="43" xfId="0" applyNumberFormat="1" applyFont="1" applyFill="1" applyBorder="1" applyAlignment="1">
      <alignment horizontal="center"/>
    </xf>
    <xf numFmtId="165" fontId="34" fillId="20" borderId="43" xfId="0" applyNumberFormat="1" applyFont="1" applyFill="1" applyBorder="1" applyAlignment="1">
      <alignment horizontal="center"/>
    </xf>
    <xf numFmtId="10" fontId="34" fillId="20" borderId="43" xfId="1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Continuous"/>
    </xf>
    <xf numFmtId="0" fontId="0" fillId="0" borderId="0" xfId="0" applyFill="1"/>
    <xf numFmtId="10" fontId="46" fillId="0" borderId="31" xfId="1" applyNumberFormat="1" applyFont="1" applyBorder="1" applyAlignment="1">
      <alignment horizontal="center"/>
    </xf>
    <xf numFmtId="10" fontId="46" fillId="0" borderId="29" xfId="1" applyNumberFormat="1" applyFont="1" applyBorder="1" applyAlignment="1">
      <alignment horizontal="center"/>
    </xf>
    <xf numFmtId="10" fontId="46" fillId="0" borderId="26" xfId="1" applyNumberFormat="1" applyFont="1" applyBorder="1" applyAlignment="1">
      <alignment horizontal="center"/>
    </xf>
    <xf numFmtId="0" fontId="28" fillId="2" borderId="37" xfId="0" applyFont="1" applyFill="1" applyBorder="1" applyAlignment="1">
      <alignment horizontal="center"/>
    </xf>
    <xf numFmtId="0" fontId="0" fillId="0" borderId="55" xfId="0" applyBorder="1" applyAlignment="1">
      <alignment horizontal="center"/>
    </xf>
    <xf numFmtId="0" fontId="28" fillId="2" borderId="42" xfId="0" applyFont="1" applyFill="1" applyBorder="1" applyAlignment="1">
      <alignment horizontal="center"/>
    </xf>
    <xf numFmtId="0" fontId="28" fillId="2" borderId="57" xfId="0" applyFont="1" applyFill="1" applyBorder="1" applyAlignment="1">
      <alignment horizontal="center"/>
    </xf>
    <xf numFmtId="0" fontId="28" fillId="2" borderId="56" xfId="0" applyFont="1" applyFill="1" applyBorder="1" applyAlignment="1">
      <alignment horizont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28" fillId="2" borderId="43" xfId="0" applyFont="1" applyFill="1" applyBorder="1" applyAlignment="1">
      <alignment horizontal="center" vertical="center"/>
    </xf>
    <xf numFmtId="164" fontId="28" fillId="2" borderId="56" xfId="1" applyNumberFormat="1" applyFont="1" applyFill="1" applyBorder="1" applyAlignment="1">
      <alignment horizontal="center"/>
    </xf>
    <xf numFmtId="9" fontId="28" fillId="2" borderId="59" xfId="0" applyNumberFormat="1" applyFont="1" applyFill="1" applyBorder="1" applyAlignment="1">
      <alignment horizontal="center"/>
    </xf>
    <xf numFmtId="0" fontId="33" fillId="0" borderId="26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Fill="1" applyBorder="1" applyAlignment="1">
      <alignment horizontal="center"/>
    </xf>
    <xf numFmtId="167" fontId="51" fillId="0" borderId="0" xfId="0" applyNumberFormat="1" applyFont="1" applyBorder="1"/>
    <xf numFmtId="168" fontId="0" fillId="0" borderId="0" xfId="0" applyNumberFormat="1"/>
    <xf numFmtId="0" fontId="28" fillId="56" borderId="0" xfId="0" applyFont="1" applyFill="1" applyBorder="1" applyAlignment="1">
      <alignment horizontal="center"/>
    </xf>
    <xf numFmtId="0" fontId="49" fillId="9" borderId="1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Fill="1" applyBorder="1"/>
    <xf numFmtId="0" fontId="5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3" fillId="0" borderId="37" xfId="0" applyFont="1" applyBorder="1" applyAlignment="1">
      <alignment horizontal="center"/>
    </xf>
    <xf numFmtId="0" fontId="33" fillId="0" borderId="43" xfId="0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9" fontId="10" fillId="57" borderId="41" xfId="0" applyNumberFormat="1" applyFont="1" applyFill="1" applyBorder="1" applyAlignment="1">
      <alignment horizontal="center"/>
    </xf>
    <xf numFmtId="0" fontId="5" fillId="57" borderId="41" xfId="0" applyFont="1" applyFill="1" applyBorder="1"/>
    <xf numFmtId="9" fontId="0" fillId="6" borderId="1" xfId="0" applyNumberFormat="1" applyFill="1" applyBorder="1" applyAlignment="1">
      <alignment horizontal="center"/>
    </xf>
    <xf numFmtId="0" fontId="0" fillId="58" borderId="0" xfId="0" applyFill="1" applyBorder="1"/>
    <xf numFmtId="0" fontId="56" fillId="58" borderId="0" xfId="0" applyFont="1" applyFill="1" applyBorder="1"/>
    <xf numFmtId="0" fontId="33" fillId="58" borderId="0" xfId="0" applyFont="1" applyFill="1" applyBorder="1"/>
    <xf numFmtId="0" fontId="33" fillId="58" borderId="0" xfId="0" applyFont="1" applyFill="1" applyBorder="1" applyAlignment="1">
      <alignment horizontal="center"/>
    </xf>
    <xf numFmtId="0" fontId="34" fillId="55" borderId="0" xfId="0" applyFont="1" applyFill="1" applyBorder="1"/>
    <xf numFmtId="9" fontId="0" fillId="0" borderId="1" xfId="0" applyNumberFormat="1" applyBorder="1" applyAlignment="1">
      <alignment horizontal="center"/>
    </xf>
    <xf numFmtId="1" fontId="32" fillId="0" borderId="40" xfId="0" applyNumberFormat="1" applyFont="1" applyFill="1" applyBorder="1" applyAlignment="1">
      <alignment horizontal="center"/>
    </xf>
    <xf numFmtId="1" fontId="10" fillId="57" borderId="41" xfId="0" applyNumberFormat="1" applyFont="1" applyFill="1" applyBorder="1" applyAlignment="1">
      <alignment horizontal="center"/>
    </xf>
    <xf numFmtId="0" fontId="28" fillId="0" borderId="58" xfId="0" applyFont="1" applyBorder="1" applyAlignment="1">
      <alignment horizontal="center"/>
    </xf>
    <xf numFmtId="0" fontId="0" fillId="0" borderId="1" xfId="0" applyFill="1" applyBorder="1" applyAlignment="1"/>
    <xf numFmtId="0" fontId="0" fillId="16" borderId="1" xfId="0" applyFill="1" applyBorder="1" applyAlignment="1"/>
    <xf numFmtId="0" fontId="28" fillId="16" borderId="1" xfId="0" applyFont="1" applyFill="1" applyBorder="1" applyAlignment="1">
      <alignment horizontal="centerContinuous"/>
    </xf>
    <xf numFmtId="0" fontId="58" fillId="16" borderId="1" xfId="0" applyFont="1" applyFill="1" applyBorder="1" applyAlignment="1">
      <alignment horizontal="centerContinuous"/>
    </xf>
    <xf numFmtId="2" fontId="0" fillId="0" borderId="1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55" xfId="0" applyNumberFormat="1" applyBorder="1" applyAlignment="1">
      <alignment horizontal="center"/>
    </xf>
    <xf numFmtId="9" fontId="0" fillId="0" borderId="58" xfId="1" applyFont="1" applyBorder="1" applyAlignment="1">
      <alignment horizontal="center"/>
    </xf>
    <xf numFmtId="9" fontId="46" fillId="0" borderId="58" xfId="1" applyFont="1" applyBorder="1" applyAlignment="1">
      <alignment horizontal="center"/>
    </xf>
    <xf numFmtId="9" fontId="32" fillId="0" borderId="58" xfId="1" applyFont="1" applyBorder="1" applyAlignment="1">
      <alignment horizontal="center"/>
    </xf>
    <xf numFmtId="2" fontId="54" fillId="19" borderId="0" xfId="0" applyNumberFormat="1" applyFont="1" applyFill="1" applyBorder="1" applyAlignment="1">
      <alignment horizontal="center"/>
    </xf>
    <xf numFmtId="2" fontId="34" fillId="55" borderId="0" xfId="0" applyNumberFormat="1" applyFont="1" applyFill="1" applyBorder="1" applyAlignment="1">
      <alignment horizontal="center"/>
    </xf>
    <xf numFmtId="2" fontId="55" fillId="9" borderId="0" xfId="0" applyNumberFormat="1" applyFont="1" applyFill="1" applyBorder="1" applyAlignment="1">
      <alignment horizontal="center"/>
    </xf>
    <xf numFmtId="2" fontId="55" fillId="53" borderId="0" xfId="0" applyNumberFormat="1" applyFont="1" applyFill="1" applyBorder="1" applyAlignment="1">
      <alignment horizontal="center"/>
    </xf>
    <xf numFmtId="2" fontId="55" fillId="54" borderId="0" xfId="1" applyNumberFormat="1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49" fillId="9" borderId="1" xfId="0" applyNumberFormat="1" applyFont="1" applyFill="1" applyBorder="1" applyAlignment="1">
      <alignment horizontal="center"/>
    </xf>
    <xf numFmtId="2" fontId="0" fillId="52" borderId="0" xfId="0" applyNumberFormat="1" applyFill="1" applyBorder="1" applyAlignment="1">
      <alignment horizontal="center"/>
    </xf>
    <xf numFmtId="2" fontId="0" fillId="56" borderId="0" xfId="0" applyNumberFormat="1" applyFill="1" applyBorder="1" applyAlignment="1">
      <alignment horizontal="center"/>
    </xf>
    <xf numFmtId="2" fontId="33" fillId="19" borderId="0" xfId="0" applyNumberFormat="1" applyFont="1" applyFill="1" applyBorder="1" applyAlignment="1">
      <alignment horizontal="center"/>
    </xf>
    <xf numFmtId="9" fontId="28" fillId="56" borderId="0" xfId="1" applyFont="1" applyFill="1" applyBorder="1"/>
    <xf numFmtId="0" fontId="51" fillId="52" borderId="0" xfId="0" applyFont="1" applyFill="1" applyBorder="1"/>
    <xf numFmtId="0" fontId="28" fillId="0" borderId="1" xfId="0" applyFont="1" applyBorder="1" applyAlignment="1"/>
    <xf numFmtId="2" fontId="28" fillId="52" borderId="1" xfId="0" applyNumberFormat="1" applyFont="1" applyFill="1" applyBorder="1" applyAlignment="1">
      <alignment horizontal="center"/>
    </xf>
    <xf numFmtId="2" fontId="28" fillId="56" borderId="1" xfId="0" applyNumberFormat="1" applyFont="1" applyFill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24" fillId="52" borderId="0" xfId="0" applyFont="1" applyFill="1" applyBorder="1"/>
    <xf numFmtId="2" fontId="24" fillId="52" borderId="0" xfId="0" applyNumberFormat="1" applyFont="1" applyFill="1" applyBorder="1" applyAlignment="1">
      <alignment horizontal="center"/>
    </xf>
    <xf numFmtId="0" fontId="24" fillId="56" borderId="0" xfId="0" applyFont="1" applyFill="1" applyBorder="1"/>
    <xf numFmtId="2" fontId="24" fillId="56" borderId="0" xfId="0" applyNumberFormat="1" applyFont="1" applyFill="1" applyBorder="1" applyAlignment="1">
      <alignment horizontal="center"/>
    </xf>
    <xf numFmtId="0" fontId="60" fillId="59" borderId="0" xfId="0" applyFont="1" applyFill="1" applyBorder="1"/>
    <xf numFmtId="2" fontId="60" fillId="59" borderId="0" xfId="0" applyNumberFormat="1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28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28" fillId="0" borderId="0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45" fillId="60" borderId="24" xfId="0" applyFont="1" applyFill="1" applyBorder="1"/>
    <xf numFmtId="0" fontId="45" fillId="60" borderId="25" xfId="0" applyFont="1" applyFill="1" applyBorder="1" applyAlignment="1">
      <alignment horizontal="center"/>
    </xf>
    <xf numFmtId="0" fontId="45" fillId="60" borderId="26" xfId="0" applyFont="1" applyFill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8" fillId="61" borderId="0" xfId="0" applyFont="1" applyFill="1" applyBorder="1" applyAlignment="1">
      <alignment horizontal="center"/>
    </xf>
    <xf numFmtId="9" fontId="28" fillId="15" borderId="31" xfId="1" applyFont="1" applyFill="1" applyBorder="1"/>
    <xf numFmtId="0" fontId="28" fillId="60" borderId="28" xfId="0" applyFont="1" applyFill="1" applyBorder="1"/>
    <xf numFmtId="0" fontId="45" fillId="60" borderId="43" xfId="0" applyFont="1" applyFill="1" applyBorder="1" applyAlignment="1">
      <alignment horizontal="center"/>
    </xf>
    <xf numFmtId="2" fontId="28" fillId="0" borderId="1" xfId="0" applyNumberFormat="1" applyFont="1" applyFill="1" applyBorder="1" applyAlignment="1">
      <alignment horizontal="center"/>
    </xf>
    <xf numFmtId="2" fontId="28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" fontId="28" fillId="0" borderId="1" xfId="0" applyNumberFormat="1" applyFont="1" applyFill="1" applyBorder="1" applyAlignment="1">
      <alignment horizontal="center"/>
    </xf>
    <xf numFmtId="2" fontId="28" fillId="0" borderId="0" xfId="0" applyNumberFormat="1" applyFont="1" applyBorder="1" applyAlignment="1">
      <alignment horizontal="center"/>
    </xf>
    <xf numFmtId="1" fontId="28" fillId="0" borderId="0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45" fillId="60" borderId="43" xfId="1" applyFont="1" applyFill="1" applyBorder="1"/>
    <xf numFmtId="9" fontId="28" fillId="15" borderId="31" xfId="1" applyFont="1" applyFill="1" applyBorder="1" applyAlignment="1">
      <alignment horizontal="center"/>
    </xf>
    <xf numFmtId="1" fontId="28" fillId="0" borderId="1" xfId="0" applyNumberFormat="1" applyFont="1" applyBorder="1" applyAlignment="1">
      <alignment horizontal="center"/>
    </xf>
    <xf numFmtId="2" fontId="28" fillId="0" borderId="1" xfId="0" applyNumberFormat="1" applyFont="1" applyBorder="1" applyAlignment="1">
      <alignment horizontal="center"/>
    </xf>
    <xf numFmtId="9" fontId="0" fillId="0" borderId="0" xfId="1" applyNumberFormat="1" applyFont="1" applyAlignment="1">
      <alignment horizontal="center"/>
    </xf>
    <xf numFmtId="9" fontId="0" fillId="0" borderId="0" xfId="0" applyNumberFormat="1" applyFill="1" applyBorder="1" applyAlignment="1">
      <alignment horizontal="center"/>
    </xf>
    <xf numFmtId="9" fontId="28" fillId="0" borderId="1" xfId="1" applyFont="1" applyFill="1" applyBorder="1" applyAlignment="1">
      <alignment horizontal="center"/>
    </xf>
    <xf numFmtId="9" fontId="0" fillId="0" borderId="0" xfId="0" applyNumberFormat="1"/>
    <xf numFmtId="0" fontId="28" fillId="11" borderId="1" xfId="0" applyFont="1" applyFill="1" applyBorder="1"/>
    <xf numFmtId="0" fontId="28" fillId="11" borderId="1" xfId="0" applyFont="1" applyFill="1" applyBorder="1" applyAlignment="1">
      <alignment horizontal="center"/>
    </xf>
    <xf numFmtId="0" fontId="0" fillId="0" borderId="26" xfId="0" applyBorder="1"/>
    <xf numFmtId="0" fontId="4" fillId="0" borderId="30" xfId="0" applyFont="1" applyBorder="1" applyAlignment="1">
      <alignment horizontal="center" vertical="center"/>
    </xf>
    <xf numFmtId="0" fontId="0" fillId="16" borderId="41" xfId="0" applyFill="1" applyBorder="1" applyAlignment="1"/>
    <xf numFmtId="0" fontId="28" fillId="0" borderId="2" xfId="0" applyFont="1" applyFill="1" applyBorder="1" applyAlignment="1">
      <alignment horizontal="center"/>
    </xf>
    <xf numFmtId="0" fontId="28" fillId="0" borderId="10" xfId="0" applyFont="1" applyBorder="1" applyAlignment="1">
      <alignment horizontal="center"/>
    </xf>
    <xf numFmtId="1" fontId="28" fillId="0" borderId="10" xfId="0" applyNumberFormat="1" applyFont="1" applyBorder="1" applyAlignment="1">
      <alignment horizontal="center"/>
    </xf>
    <xf numFmtId="0" fontId="61" fillId="64" borderId="1" xfId="0" applyFont="1" applyFill="1" applyBorder="1" applyAlignment="1">
      <alignment horizontal="center"/>
    </xf>
    <xf numFmtId="9" fontId="61" fillId="64" borderId="1" xfId="1" applyFont="1" applyFill="1" applyBorder="1" applyAlignment="1">
      <alignment horizontal="center"/>
    </xf>
    <xf numFmtId="0" fontId="61" fillId="0" borderId="0" xfId="0" applyFont="1"/>
    <xf numFmtId="0" fontId="61" fillId="0" borderId="0" xfId="0" applyFont="1" applyAlignment="1">
      <alignment horizontal="center"/>
    </xf>
    <xf numFmtId="0" fontId="62" fillId="62" borderId="1" xfId="0" applyFont="1" applyFill="1" applyBorder="1" applyAlignment="1">
      <alignment horizontal="center"/>
    </xf>
    <xf numFmtId="9" fontId="0" fillId="0" borderId="58" xfId="0" applyNumberFormat="1" applyBorder="1" applyAlignment="1">
      <alignment horizontal="center"/>
    </xf>
    <xf numFmtId="0" fontId="0" fillId="2" borderId="56" xfId="0" applyFill="1" applyBorder="1"/>
    <xf numFmtId="2" fontId="61" fillId="64" borderId="1" xfId="0" applyNumberFormat="1" applyFont="1" applyFill="1" applyBorder="1" applyAlignment="1">
      <alignment horizontal="center"/>
    </xf>
    <xf numFmtId="2" fontId="61" fillId="0" borderId="0" xfId="0" applyNumberFormat="1" applyFont="1"/>
    <xf numFmtId="2" fontId="61" fillId="0" borderId="0" xfId="0" applyNumberFormat="1" applyFont="1" applyAlignment="1">
      <alignment horizontal="center"/>
    </xf>
    <xf numFmtId="0" fontId="51" fillId="62" borderId="1" xfId="0" applyNumberFormat="1" applyFont="1" applyFill="1" applyBorder="1" applyAlignment="1">
      <alignment horizontal="center"/>
    </xf>
    <xf numFmtId="9" fontId="51" fillId="62" borderId="1" xfId="1" applyFont="1" applyFill="1" applyBorder="1" applyAlignment="1">
      <alignment horizontal="center"/>
    </xf>
    <xf numFmtId="0" fontId="32" fillId="63" borderId="1" xfId="0" applyNumberFormat="1" applyFont="1" applyFill="1" applyBorder="1" applyAlignment="1">
      <alignment horizontal="center"/>
    </xf>
    <xf numFmtId="9" fontId="32" fillId="63" borderId="1" xfId="1" applyFont="1" applyFill="1" applyBorder="1" applyAlignment="1">
      <alignment horizontal="center"/>
    </xf>
    <xf numFmtId="9" fontId="51" fillId="63" borderId="1" xfId="1" applyFont="1" applyFill="1" applyBorder="1" applyAlignment="1">
      <alignment horizontal="center"/>
    </xf>
    <xf numFmtId="9" fontId="51" fillId="62" borderId="4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24" fillId="11" borderId="1" xfId="0" applyFont="1" applyFill="1" applyBorder="1" applyAlignment="1">
      <alignment horizontal="center"/>
    </xf>
    <xf numFmtId="9" fontId="28" fillId="0" borderId="1" xfId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0" fontId="28" fillId="0" borderId="0" xfId="0" applyFont="1"/>
    <xf numFmtId="0" fontId="64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3" fillId="0" borderId="1" xfId="0" applyFont="1" applyBorder="1" applyAlignment="1">
      <alignment horizontal="center"/>
    </xf>
    <xf numFmtId="9" fontId="33" fillId="0" borderId="1" xfId="1" applyFont="1" applyBorder="1" applyAlignment="1">
      <alignment horizontal="center"/>
    </xf>
    <xf numFmtId="2" fontId="33" fillId="0" borderId="1" xfId="0" applyNumberFormat="1" applyFont="1" applyBorder="1" applyAlignment="1">
      <alignment horizontal="center"/>
    </xf>
    <xf numFmtId="0" fontId="33" fillId="5" borderId="0" xfId="0" applyFont="1" applyFill="1" applyAlignment="1">
      <alignment horizontal="center"/>
    </xf>
    <xf numFmtId="1" fontId="33" fillId="5" borderId="0" xfId="1" applyNumberFormat="1" applyFont="1" applyFill="1" applyAlignment="1">
      <alignment horizontal="center"/>
    </xf>
    <xf numFmtId="1" fontId="67" fillId="5" borderId="0" xfId="0" applyNumberFormat="1" applyFont="1" applyFill="1" applyAlignment="1">
      <alignment horizontal="center"/>
    </xf>
    <xf numFmtId="9" fontId="68" fillId="65" borderId="0" xfId="1" applyFont="1" applyFill="1" applyAlignment="1">
      <alignment horizontal="center"/>
    </xf>
    <xf numFmtId="9" fontId="27" fillId="2" borderId="1" xfId="1" applyFont="1" applyFill="1" applyBorder="1" applyAlignment="1">
      <alignment horizontal="center"/>
    </xf>
    <xf numFmtId="0" fontId="0" fillId="61" borderId="0" xfId="0" applyFill="1" applyAlignment="1">
      <alignment horizontal="center"/>
    </xf>
    <xf numFmtId="0" fontId="8" fillId="0" borderId="1" xfId="0" applyFont="1" applyBorder="1" applyAlignment="1">
      <alignment horizontal="center"/>
    </xf>
    <xf numFmtId="2" fontId="0" fillId="0" borderId="0" xfId="0" applyNumberFormat="1"/>
    <xf numFmtId="2" fontId="0" fillId="0" borderId="0" xfId="1" applyNumberFormat="1" applyFont="1"/>
    <xf numFmtId="2" fontId="8" fillId="0" borderId="1" xfId="1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2" fontId="8" fillId="0" borderId="1" xfId="0" applyNumberFormat="1" applyFont="1" applyBorder="1"/>
    <xf numFmtId="0" fontId="70" fillId="0" borderId="0" xfId="0" applyFont="1"/>
    <xf numFmtId="0" fontId="8" fillId="0" borderId="1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28" fillId="0" borderId="0" xfId="0" applyFont="1" applyAlignment="1">
      <alignment horizontal="center"/>
    </xf>
    <xf numFmtId="9" fontId="28" fillId="2" borderId="1" xfId="1" applyFont="1" applyFill="1" applyBorder="1" applyAlignment="1">
      <alignment horizontal="center"/>
    </xf>
    <xf numFmtId="0" fontId="64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73" fillId="2" borderId="0" xfId="0" applyFont="1" applyFill="1"/>
    <xf numFmtId="0" fontId="33" fillId="61" borderId="1" xfId="0" applyFont="1" applyFill="1" applyBorder="1" applyAlignment="1">
      <alignment horizontal="center"/>
    </xf>
    <xf numFmtId="1" fontId="33" fillId="61" borderId="1" xfId="0" applyNumberFormat="1" applyFont="1" applyFill="1" applyBorder="1" applyAlignment="1">
      <alignment horizontal="center"/>
    </xf>
    <xf numFmtId="9" fontId="33" fillId="61" borderId="1" xfId="0" applyNumberFormat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9" fontId="28" fillId="11" borderId="1" xfId="1" applyFont="1" applyFill="1" applyBorder="1" applyAlignment="1">
      <alignment horizontal="center"/>
    </xf>
    <xf numFmtId="9" fontId="0" fillId="0" borderId="0" xfId="1" applyFont="1"/>
    <xf numFmtId="0" fontId="0" fillId="0" borderId="0" xfId="0" applyBorder="1" applyAlignment="1"/>
    <xf numFmtId="1" fontId="67" fillId="12" borderId="0" xfId="0" applyNumberFormat="1" applyFont="1" applyFill="1" applyAlignment="1">
      <alignment horizontal="center"/>
    </xf>
    <xf numFmtId="9" fontId="74" fillId="67" borderId="0" xfId="1" applyNumberFormat="1" applyFont="1" applyFill="1" applyAlignment="1">
      <alignment horizontal="center"/>
    </xf>
    <xf numFmtId="1" fontId="28" fillId="11" borderId="1" xfId="0" applyNumberFormat="1" applyFont="1" applyFill="1" applyBorder="1" applyAlignment="1">
      <alignment horizontal="center"/>
    </xf>
    <xf numFmtId="9" fontId="28" fillId="11" borderId="1" xfId="0" applyNumberFormat="1" applyFont="1" applyFill="1" applyBorder="1" applyAlignment="1">
      <alignment horizontal="center"/>
    </xf>
    <xf numFmtId="2" fontId="28" fillId="0" borderId="1" xfId="1" applyNumberFormat="1" applyFont="1" applyBorder="1" applyAlignment="1">
      <alignment horizontal="center"/>
    </xf>
    <xf numFmtId="0" fontId="28" fillId="0" borderId="0" xfId="0" applyFont="1" applyBorder="1" applyAlignment="1"/>
    <xf numFmtId="0" fontId="0" fillId="0" borderId="2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7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9" borderId="0" xfId="0" applyFill="1"/>
    <xf numFmtId="165" fontId="0" fillId="9" borderId="0" xfId="0" applyNumberFormat="1" applyFill="1" applyAlignment="1">
      <alignment horizontal="center"/>
    </xf>
    <xf numFmtId="10" fontId="0" fillId="9" borderId="0" xfId="1" applyNumberFormat="1" applyFont="1" applyFill="1" applyAlignment="1">
      <alignment horizontal="center"/>
    </xf>
    <xf numFmtId="0" fontId="28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24" fillId="12" borderId="0" xfId="0" applyFont="1" applyFill="1"/>
    <xf numFmtId="2" fontId="33" fillId="12" borderId="1" xfId="0" applyNumberFormat="1" applyFont="1" applyFill="1" applyBorder="1" applyAlignment="1">
      <alignment horizontal="center"/>
    </xf>
    <xf numFmtId="0" fontId="27" fillId="2" borderId="0" xfId="0" applyFont="1" applyFill="1" applyBorder="1" applyAlignment="1">
      <alignment horizontal="center"/>
    </xf>
    <xf numFmtId="0" fontId="27" fillId="2" borderId="28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9" fillId="3" borderId="21" xfId="0" applyFont="1" applyFill="1" applyBorder="1" applyAlignment="1">
      <alignment horizontal="center"/>
    </xf>
    <xf numFmtId="0" fontId="12" fillId="3" borderId="22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8" fillId="2" borderId="24" xfId="0" applyFont="1" applyFill="1" applyBorder="1" applyAlignment="1">
      <alignment horizontal="center"/>
    </xf>
    <xf numFmtId="0" fontId="18" fillId="2" borderId="26" xfId="0" applyFont="1" applyFill="1" applyBorder="1" applyAlignment="1">
      <alignment horizontal="center"/>
    </xf>
    <xf numFmtId="0" fontId="18" fillId="2" borderId="27" xfId="0" applyFont="1" applyFill="1" applyBorder="1" applyAlignment="1">
      <alignment horizontal="center"/>
    </xf>
    <xf numFmtId="0" fontId="18" fillId="2" borderId="2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7" borderId="24" xfId="0" applyFont="1" applyFill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/>
    </xf>
    <xf numFmtId="0" fontId="10" fillId="7" borderId="29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30" fillId="2" borderId="24" xfId="0" applyFont="1" applyFill="1" applyBorder="1" applyAlignment="1">
      <alignment horizontal="center" vertical="center" wrapText="1"/>
    </xf>
    <xf numFmtId="0" fontId="30" fillId="2" borderId="25" xfId="0" applyFont="1" applyFill="1" applyBorder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 wrapText="1"/>
    </xf>
    <xf numFmtId="0" fontId="30" fillId="2" borderId="30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 wrapText="1"/>
    </xf>
    <xf numFmtId="0" fontId="30" fillId="2" borderId="31" xfId="0" applyFont="1" applyFill="1" applyBorder="1" applyAlignment="1">
      <alignment horizontal="center" vertical="center" wrapText="1"/>
    </xf>
    <xf numFmtId="0" fontId="30" fillId="2" borderId="27" xfId="0" applyFont="1" applyFill="1" applyBorder="1" applyAlignment="1">
      <alignment horizontal="center" vertical="center" wrapText="1"/>
    </xf>
    <xf numFmtId="0" fontId="30" fillId="2" borderId="28" xfId="0" applyFont="1" applyFill="1" applyBorder="1" applyAlignment="1">
      <alignment horizontal="center" vertical="center" wrapText="1"/>
    </xf>
    <xf numFmtId="0" fontId="30" fillId="2" borderId="29" xfId="0" applyFont="1" applyFill="1" applyBorder="1" applyAlignment="1">
      <alignment horizontal="center" vertical="center" wrapText="1"/>
    </xf>
    <xf numFmtId="0" fontId="29" fillId="2" borderId="24" xfId="0" applyFont="1" applyFill="1" applyBorder="1" applyAlignment="1">
      <alignment horizontal="center" vertical="center" wrapText="1"/>
    </xf>
    <xf numFmtId="0" fontId="29" fillId="2" borderId="26" xfId="0" applyFont="1" applyFill="1" applyBorder="1" applyAlignment="1">
      <alignment horizontal="center" vertical="center" wrapText="1"/>
    </xf>
    <xf numFmtId="0" fontId="29" fillId="2" borderId="30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29" fillId="2" borderId="27" xfId="0" applyFont="1" applyFill="1" applyBorder="1" applyAlignment="1">
      <alignment horizontal="center" vertical="center" wrapText="1"/>
    </xf>
    <xf numFmtId="0" fontId="29" fillId="2" borderId="29" xfId="0" applyFont="1" applyFill="1" applyBorder="1" applyAlignment="1">
      <alignment horizontal="center" vertical="center" wrapText="1"/>
    </xf>
    <xf numFmtId="0" fontId="13" fillId="66" borderId="24" xfId="0" applyFont="1" applyFill="1" applyBorder="1" applyAlignment="1">
      <alignment horizontal="center" vertical="center" wrapText="1"/>
    </xf>
    <xf numFmtId="0" fontId="13" fillId="66" borderId="25" xfId="0" applyFont="1" applyFill="1" applyBorder="1" applyAlignment="1">
      <alignment horizontal="center" vertical="center" wrapText="1"/>
    </xf>
    <xf numFmtId="0" fontId="13" fillId="66" borderId="26" xfId="0" applyFont="1" applyFill="1" applyBorder="1" applyAlignment="1">
      <alignment horizontal="center" vertical="center" wrapText="1"/>
    </xf>
    <xf numFmtId="0" fontId="13" fillId="66" borderId="30" xfId="0" applyFont="1" applyFill="1" applyBorder="1" applyAlignment="1">
      <alignment horizontal="center" vertical="center" wrapText="1"/>
    </xf>
    <xf numFmtId="0" fontId="13" fillId="66" borderId="0" xfId="0" applyFont="1" applyFill="1" applyBorder="1" applyAlignment="1">
      <alignment horizontal="center" vertical="center" wrapText="1"/>
    </xf>
    <xf numFmtId="0" fontId="13" fillId="66" borderId="31" xfId="0" applyFont="1" applyFill="1" applyBorder="1" applyAlignment="1">
      <alignment horizontal="center" vertical="center" wrapText="1"/>
    </xf>
    <xf numFmtId="0" fontId="13" fillId="66" borderId="27" xfId="0" applyFont="1" applyFill="1" applyBorder="1" applyAlignment="1">
      <alignment horizontal="center" vertical="center" wrapText="1"/>
    </xf>
    <xf numFmtId="0" fontId="13" fillId="66" borderId="28" xfId="0" applyFont="1" applyFill="1" applyBorder="1" applyAlignment="1">
      <alignment horizontal="center" vertical="center" wrapText="1"/>
    </xf>
    <xf numFmtId="0" fontId="13" fillId="66" borderId="29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4" fillId="9" borderId="24" xfId="0" applyFont="1" applyFill="1" applyBorder="1" applyAlignment="1">
      <alignment horizontal="center" vertical="center"/>
    </xf>
    <xf numFmtId="0" fontId="14" fillId="9" borderId="25" xfId="0" applyFont="1" applyFill="1" applyBorder="1" applyAlignment="1">
      <alignment horizontal="center" vertical="center"/>
    </xf>
    <xf numFmtId="0" fontId="14" fillId="9" borderId="26" xfId="0" applyFont="1" applyFill="1" applyBorder="1" applyAlignment="1">
      <alignment horizontal="center" vertical="center"/>
    </xf>
    <xf numFmtId="0" fontId="14" fillId="9" borderId="30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4" fillId="9" borderId="31" xfId="0" applyFont="1" applyFill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/>
    </xf>
    <xf numFmtId="0" fontId="14" fillId="9" borderId="28" xfId="0" applyFont="1" applyFill="1" applyBorder="1" applyAlignment="1">
      <alignment horizontal="center" vertical="center"/>
    </xf>
    <xf numFmtId="0" fontId="14" fillId="9" borderId="29" xfId="0" applyFont="1" applyFill="1" applyBorder="1" applyAlignment="1">
      <alignment horizontal="center" vertical="center"/>
    </xf>
    <xf numFmtId="0" fontId="14" fillId="6" borderId="32" xfId="0" applyFont="1" applyFill="1" applyBorder="1" applyAlignment="1">
      <alignment horizontal="center"/>
    </xf>
    <xf numFmtId="0" fontId="14" fillId="6" borderId="33" xfId="0" applyFont="1" applyFill="1" applyBorder="1" applyAlignment="1">
      <alignment horizontal="center"/>
    </xf>
    <xf numFmtId="0" fontId="14" fillId="6" borderId="34" xfId="0" applyFont="1" applyFill="1" applyBorder="1" applyAlignment="1">
      <alignment horizontal="center"/>
    </xf>
    <xf numFmtId="0" fontId="6" fillId="9" borderId="24" xfId="0" applyFont="1" applyFill="1" applyBorder="1" applyAlignment="1">
      <alignment horizontal="center"/>
    </xf>
    <xf numFmtId="0" fontId="6" fillId="9" borderId="25" xfId="0" applyFont="1" applyFill="1" applyBorder="1" applyAlignment="1">
      <alignment horizontal="center"/>
    </xf>
    <xf numFmtId="0" fontId="6" fillId="9" borderId="26" xfId="0" applyFont="1" applyFill="1" applyBorder="1" applyAlignment="1">
      <alignment horizontal="center"/>
    </xf>
    <xf numFmtId="0" fontId="6" fillId="9" borderId="27" xfId="0" applyFont="1" applyFill="1" applyBorder="1" applyAlignment="1">
      <alignment horizontal="center"/>
    </xf>
    <xf numFmtId="0" fontId="6" fillId="9" borderId="28" xfId="0" applyFont="1" applyFill="1" applyBorder="1" applyAlignment="1">
      <alignment horizontal="center"/>
    </xf>
    <xf numFmtId="0" fontId="6" fillId="9" borderId="29" xfId="0" applyFont="1" applyFill="1" applyBorder="1" applyAlignment="1">
      <alignment horizontal="center"/>
    </xf>
    <xf numFmtId="0" fontId="7" fillId="10" borderId="0" xfId="0" applyFont="1" applyFill="1" applyBorder="1" applyAlignment="1">
      <alignment horizontal="center"/>
    </xf>
    <xf numFmtId="0" fontId="7" fillId="10" borderId="31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10" borderId="30" xfId="0" applyFont="1" applyFill="1" applyBorder="1" applyAlignment="1">
      <alignment horizontal="center" vertical="center" wrapText="1"/>
    </xf>
    <xf numFmtId="0" fontId="6" fillId="11" borderId="19" xfId="0" applyFont="1" applyFill="1" applyBorder="1" applyAlignment="1">
      <alignment horizontal="center"/>
    </xf>
    <xf numFmtId="0" fontId="6" fillId="11" borderId="20" xfId="0" applyFont="1" applyFill="1" applyBorder="1" applyAlignment="1">
      <alignment horizontal="center"/>
    </xf>
    <xf numFmtId="0" fontId="6" fillId="11" borderId="23" xfId="0" applyFont="1" applyFill="1" applyBorder="1" applyAlignment="1">
      <alignment horizontal="center"/>
    </xf>
    <xf numFmtId="0" fontId="21" fillId="4" borderId="24" xfId="0" applyFont="1" applyFill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21" fillId="4" borderId="26" xfId="0" applyFont="1" applyFill="1" applyBorder="1" applyAlignment="1">
      <alignment horizontal="center" vertical="center"/>
    </xf>
    <xf numFmtId="0" fontId="21" fillId="4" borderId="3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21" fillId="4" borderId="31" xfId="0" applyFont="1" applyFill="1" applyBorder="1" applyAlignment="1">
      <alignment horizontal="center" vertical="center"/>
    </xf>
    <xf numFmtId="0" fontId="21" fillId="4" borderId="27" xfId="0" applyFont="1" applyFill="1" applyBorder="1" applyAlignment="1">
      <alignment horizontal="center" vertical="center"/>
    </xf>
    <xf numFmtId="0" fontId="21" fillId="4" borderId="28" xfId="0" applyFont="1" applyFill="1" applyBorder="1" applyAlignment="1">
      <alignment horizontal="center" vertical="center"/>
    </xf>
    <xf numFmtId="0" fontId="21" fillId="4" borderId="29" xfId="0" applyFont="1" applyFill="1" applyBorder="1" applyAlignment="1">
      <alignment horizontal="center" vertical="center"/>
    </xf>
    <xf numFmtId="0" fontId="7" fillId="10" borderId="28" xfId="0" applyFont="1" applyFill="1" applyBorder="1" applyAlignment="1">
      <alignment horizontal="center"/>
    </xf>
    <xf numFmtId="0" fontId="7" fillId="10" borderId="29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10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/>
    </xf>
    <xf numFmtId="0" fontId="11" fillId="0" borderId="40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27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0" fontId="19" fillId="7" borderId="24" xfId="0" applyFont="1" applyFill="1" applyBorder="1" applyAlignment="1">
      <alignment horizontal="center" vertical="center"/>
    </xf>
    <xf numFmtId="0" fontId="19" fillId="7" borderId="25" xfId="0" applyFont="1" applyFill="1" applyBorder="1" applyAlignment="1">
      <alignment horizontal="center" vertical="center"/>
    </xf>
    <xf numFmtId="0" fontId="19" fillId="7" borderId="26" xfId="0" applyFont="1" applyFill="1" applyBorder="1" applyAlignment="1">
      <alignment horizontal="center" vertical="center"/>
    </xf>
    <xf numFmtId="0" fontId="19" fillId="7" borderId="30" xfId="0" applyFont="1" applyFill="1" applyBorder="1" applyAlignment="1">
      <alignment horizontal="center" vertical="center"/>
    </xf>
    <xf numFmtId="0" fontId="19" fillId="7" borderId="0" xfId="0" applyFont="1" applyFill="1" applyBorder="1" applyAlignment="1">
      <alignment horizontal="center" vertical="center"/>
    </xf>
    <xf numFmtId="0" fontId="19" fillId="7" borderId="31" xfId="0" applyFont="1" applyFill="1" applyBorder="1" applyAlignment="1">
      <alignment horizontal="center" vertical="center"/>
    </xf>
    <xf numFmtId="0" fontId="19" fillId="7" borderId="27" xfId="0" applyFont="1" applyFill="1" applyBorder="1" applyAlignment="1">
      <alignment horizontal="center" vertical="center"/>
    </xf>
    <xf numFmtId="0" fontId="19" fillId="7" borderId="28" xfId="0" applyFont="1" applyFill="1" applyBorder="1" applyAlignment="1">
      <alignment horizontal="center" vertical="center"/>
    </xf>
    <xf numFmtId="0" fontId="16" fillId="12" borderId="24" xfId="0" applyFont="1" applyFill="1" applyBorder="1" applyAlignment="1">
      <alignment horizontal="center" vertical="center"/>
    </xf>
    <xf numFmtId="0" fontId="16" fillId="12" borderId="25" xfId="0" applyFont="1" applyFill="1" applyBorder="1" applyAlignment="1">
      <alignment horizontal="center" vertical="center"/>
    </xf>
    <xf numFmtId="0" fontId="16" fillId="12" borderId="26" xfId="0" applyFont="1" applyFill="1" applyBorder="1" applyAlignment="1">
      <alignment horizontal="center" vertical="center"/>
    </xf>
    <xf numFmtId="0" fontId="16" fillId="12" borderId="30" xfId="0" applyFont="1" applyFill="1" applyBorder="1" applyAlignment="1">
      <alignment horizontal="center" vertical="center"/>
    </xf>
    <xf numFmtId="0" fontId="16" fillId="12" borderId="0" xfId="0" applyFont="1" applyFill="1" applyBorder="1" applyAlignment="1">
      <alignment horizontal="center" vertical="center"/>
    </xf>
    <xf numFmtId="0" fontId="16" fillId="12" borderId="31" xfId="0" applyFont="1" applyFill="1" applyBorder="1" applyAlignment="1">
      <alignment horizontal="center" vertical="center"/>
    </xf>
    <xf numFmtId="0" fontId="16" fillId="12" borderId="27" xfId="0" applyFont="1" applyFill="1" applyBorder="1" applyAlignment="1">
      <alignment horizontal="center" vertical="center"/>
    </xf>
    <xf numFmtId="0" fontId="16" fillId="12" borderId="28" xfId="0" applyFont="1" applyFill="1" applyBorder="1" applyAlignment="1">
      <alignment horizontal="center" vertical="center"/>
    </xf>
    <xf numFmtId="0" fontId="16" fillId="12" borderId="29" xfId="0" applyFont="1" applyFill="1" applyBorder="1" applyAlignment="1">
      <alignment horizontal="center" vertical="center"/>
    </xf>
    <xf numFmtId="0" fontId="17" fillId="6" borderId="37" xfId="0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/>
    </xf>
    <xf numFmtId="0" fontId="17" fillId="6" borderId="39" xfId="0" applyFont="1" applyFill="1" applyBorder="1" applyAlignment="1">
      <alignment horizontal="center" vertical="center"/>
    </xf>
    <xf numFmtId="0" fontId="12" fillId="7" borderId="24" xfId="0" applyFont="1" applyFill="1" applyBorder="1" applyAlignment="1">
      <alignment horizontal="center" wrapText="1"/>
    </xf>
    <xf numFmtId="0" fontId="12" fillId="7" borderId="25" xfId="0" applyFont="1" applyFill="1" applyBorder="1" applyAlignment="1">
      <alignment horizontal="center" wrapText="1"/>
    </xf>
    <xf numFmtId="0" fontId="12" fillId="7" borderId="0" xfId="0" applyFont="1" applyFill="1" applyBorder="1" applyAlignment="1">
      <alignment horizontal="center" wrapText="1"/>
    </xf>
    <xf numFmtId="0" fontId="12" fillId="7" borderId="31" xfId="0" applyFont="1" applyFill="1" applyBorder="1" applyAlignment="1">
      <alignment horizontal="center" wrapText="1"/>
    </xf>
    <xf numFmtId="0" fontId="12" fillId="7" borderId="30" xfId="0" applyFont="1" applyFill="1" applyBorder="1" applyAlignment="1">
      <alignment horizontal="center" wrapText="1"/>
    </xf>
    <xf numFmtId="0" fontId="12" fillId="7" borderId="27" xfId="0" applyFont="1" applyFill="1" applyBorder="1" applyAlignment="1">
      <alignment horizontal="center" wrapText="1"/>
    </xf>
    <xf numFmtId="0" fontId="12" fillId="7" borderId="28" xfId="0" applyFont="1" applyFill="1" applyBorder="1" applyAlignment="1">
      <alignment horizontal="center" wrapText="1"/>
    </xf>
    <xf numFmtId="0" fontId="12" fillId="7" borderId="29" xfId="0" applyFont="1" applyFill="1" applyBorder="1" applyAlignment="1">
      <alignment horizontal="center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4" fillId="5" borderId="24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30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27" xfId="0" applyFont="1" applyFill="1" applyBorder="1" applyAlignment="1">
      <alignment horizontal="center" vertical="center"/>
    </xf>
    <xf numFmtId="0" fontId="14" fillId="5" borderId="29" xfId="0" applyFont="1" applyFill="1" applyBorder="1" applyAlignment="1">
      <alignment horizontal="center" vertical="center"/>
    </xf>
    <xf numFmtId="0" fontId="7" fillId="10" borderId="27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0" fillId="0" borderId="42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59" fillId="2" borderId="19" xfId="0" applyFont="1" applyFill="1" applyBorder="1" applyAlignment="1">
      <alignment horizontal="center"/>
    </xf>
    <xf numFmtId="0" fontId="59" fillId="2" borderId="20" xfId="0" applyFont="1" applyFill="1" applyBorder="1" applyAlignment="1">
      <alignment horizontal="center"/>
    </xf>
    <xf numFmtId="0" fontId="59" fillId="2" borderId="23" xfId="0" applyFont="1" applyFill="1" applyBorder="1" applyAlignment="1">
      <alignment horizontal="center"/>
    </xf>
    <xf numFmtId="0" fontId="52" fillId="9" borderId="0" xfId="0" applyFont="1" applyFill="1" applyBorder="1" applyAlignment="1">
      <alignment horizontal="center"/>
    </xf>
    <xf numFmtId="0" fontId="28" fillId="53" borderId="0" xfId="0" applyFont="1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53" xfId="0" applyFill="1" applyBorder="1" applyAlignment="1">
      <alignment horizontal="center"/>
    </xf>
    <xf numFmtId="0" fontId="33" fillId="0" borderId="0" xfId="0" applyFont="1" applyAlignment="1">
      <alignment horizontal="center"/>
    </xf>
    <xf numFmtId="0" fontId="0" fillId="0" borderId="40" xfId="0" applyBorder="1" applyAlignment="1"/>
    <xf numFmtId="0" fontId="0" fillId="0" borderId="2" xfId="0" applyBorder="1" applyAlignment="1"/>
    <xf numFmtId="0" fontId="24" fillId="4" borderId="0" xfId="0" applyFont="1" applyFill="1" applyBorder="1" applyAlignment="1">
      <alignment horizontal="center"/>
    </xf>
    <xf numFmtId="0" fontId="46" fillId="0" borderId="0" xfId="0" applyFont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28" fillId="0" borderId="40" xfId="0" applyFont="1" applyBorder="1" applyAlignment="1">
      <alignment horizontal="center"/>
    </xf>
    <xf numFmtId="0" fontId="28" fillId="0" borderId="53" xfId="0" applyFont="1" applyBorder="1" applyAlignment="1">
      <alignment horizontal="center"/>
    </xf>
    <xf numFmtId="0" fontId="28" fillId="54" borderId="0" xfId="0" applyFont="1" applyFill="1" applyBorder="1" applyAlignment="1">
      <alignment horizontal="center"/>
    </xf>
    <xf numFmtId="0" fontId="57" fillId="55" borderId="0" xfId="0" applyFont="1" applyFill="1" applyBorder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53" fillId="2" borderId="0" xfId="0" applyFont="1" applyFill="1" applyAlignment="1">
      <alignment horizontal="center" vertical="center"/>
    </xf>
    <xf numFmtId="0" fontId="10" fillId="57" borderId="4" xfId="0" applyFont="1" applyFill="1" applyBorder="1" applyAlignment="1">
      <alignment horizontal="center"/>
    </xf>
    <xf numFmtId="0" fontId="10" fillId="57" borderId="54" xfId="0" applyFont="1" applyFill="1" applyBorder="1" applyAlignment="1">
      <alignment horizontal="center"/>
    </xf>
    <xf numFmtId="0" fontId="28" fillId="2" borderId="19" xfId="0" applyFont="1" applyFill="1" applyBorder="1" applyAlignment="1">
      <alignment horizontal="center"/>
    </xf>
    <xf numFmtId="0" fontId="28" fillId="2" borderId="23" xfId="0" applyFont="1" applyFill="1" applyBorder="1" applyAlignment="1">
      <alignment horizontal="center"/>
    </xf>
    <xf numFmtId="0" fontId="28" fillId="2" borderId="20" xfId="0" applyFont="1" applyFill="1" applyBorder="1" applyAlignment="1">
      <alignment horizontal="center"/>
    </xf>
    <xf numFmtId="0" fontId="45" fillId="60" borderId="27" xfId="0" applyFont="1" applyFill="1" applyBorder="1" applyAlignment="1">
      <alignment horizontal="center"/>
    </xf>
    <xf numFmtId="0" fontId="28" fillId="0" borderId="28" xfId="0" applyFont="1" applyBorder="1" applyAlignment="1">
      <alignment horizontal="center"/>
    </xf>
    <xf numFmtId="0" fontId="62" fillId="62" borderId="40" xfId="0" applyFont="1" applyFill="1" applyBorder="1" applyAlignment="1">
      <alignment horizontal="center"/>
    </xf>
    <xf numFmtId="0" fontId="62" fillId="62" borderId="2" xfId="0" applyFont="1" applyFill="1" applyBorder="1" applyAlignment="1">
      <alignment horizontal="center"/>
    </xf>
    <xf numFmtId="0" fontId="63" fillId="64" borderId="1" xfId="0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66" fillId="0" borderId="0" xfId="0" applyFont="1" applyAlignment="1">
      <alignment horizontal="center"/>
    </xf>
    <xf numFmtId="0" fontId="28" fillId="0" borderId="0" xfId="0" applyFont="1" applyAlignment="1">
      <alignment horizontal="center"/>
    </xf>
  </cellXfs>
  <cellStyles count="43">
    <cellStyle name="20% - Énfasis1" xfId="19" builtinId="30" customBuiltin="1"/>
    <cellStyle name="20% - Énfasis2" xfId="22" builtinId="34" customBuiltin="1"/>
    <cellStyle name="20% - Énfasis3" xfId="25" builtinId="38" customBuiltin="1"/>
    <cellStyle name="20% - Énfasis4" xfId="28" builtinId="42" customBuiltin="1"/>
    <cellStyle name="20% - Énfasis5" xfId="31" builtinId="46" customBuiltin="1"/>
    <cellStyle name="20% - Énfasis6" xfId="34" builtinId="50" customBuiltin="1"/>
    <cellStyle name="40% - Énfasis1" xfId="20" builtinId="31" customBuiltin="1"/>
    <cellStyle name="40% - Énfasis2" xfId="23" builtinId="35" customBuiltin="1"/>
    <cellStyle name="40% - Énfasis3" xfId="26" builtinId="39" customBuiltin="1"/>
    <cellStyle name="40% - Énfasis4" xfId="29" builtinId="43" customBuiltin="1"/>
    <cellStyle name="40% - Énfasis5" xfId="32" builtinId="47" customBuiltin="1"/>
    <cellStyle name="40% - Énfasis6" xfId="35" builtinId="51" customBuiltin="1"/>
    <cellStyle name="60% - Énfasis1 2" xfId="37" xr:uid="{00000000-0005-0000-0000-00000C000000}"/>
    <cellStyle name="60% - Énfasis2 2" xfId="38" xr:uid="{00000000-0005-0000-0000-00000D000000}"/>
    <cellStyle name="60% - Énfasis3 2" xfId="39" xr:uid="{00000000-0005-0000-0000-00000E000000}"/>
    <cellStyle name="60% - Énfasis4 2" xfId="40" xr:uid="{00000000-0005-0000-0000-00000F000000}"/>
    <cellStyle name="60% - Énfasis5 2" xfId="41" xr:uid="{00000000-0005-0000-0000-000010000000}"/>
    <cellStyle name="60% - Énfasis6 2" xfId="42" xr:uid="{00000000-0005-0000-0000-000011000000}"/>
    <cellStyle name="Bueno" xfId="7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1" builtinId="33" customBuiltin="1"/>
    <cellStyle name="Énfasis3" xfId="24" builtinId="37" customBuiltin="1"/>
    <cellStyle name="Énfasis4" xfId="27" builtinId="41" customBuiltin="1"/>
    <cellStyle name="Énfasis5" xfId="30" builtinId="45" customBuiltin="1"/>
    <cellStyle name="Énfasis6" xfId="33" builtinId="49" customBuiltin="1"/>
    <cellStyle name="Entrada" xfId="9" builtinId="20" customBuiltin="1"/>
    <cellStyle name="Incorrecto" xfId="8" builtinId="27" customBuiltin="1"/>
    <cellStyle name="Neutral 2" xfId="36" xr:uid="{00000000-0005-0000-0000-000020000000}"/>
    <cellStyle name="Normal" xfId="0" builtinId="0"/>
    <cellStyle name="Notas" xfId="15" builtinId="10" customBuiltin="1"/>
    <cellStyle name="Porcentaje" xfId="1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7" builtinId="25" customBuiltin="1"/>
  </cellStyles>
  <dxfs count="10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00B050"/>
      </font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FF"/>
      <color rgb="FF99F092"/>
      <color rgb="FFFF66CC"/>
      <color rgb="FFEA34BA"/>
      <color rgb="FF6600F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F0000"/>
                </a:solidFill>
              </a:rPr>
              <a:t>% INCREMENTO</a:t>
            </a:r>
          </a:p>
          <a:p>
            <a:pPr>
              <a:defRPr>
                <a:solidFill>
                  <a:srgbClr val="FF0000"/>
                </a:solidFill>
              </a:defRPr>
            </a:pPr>
            <a:r>
              <a:rPr lang="en-US" baseline="0">
                <a:solidFill>
                  <a:srgbClr val="FF0000"/>
                </a:solidFill>
              </a:rPr>
              <a:t> HIERRO </a:t>
            </a:r>
          </a:p>
        </c:rich>
      </c:tx>
      <c:layout>
        <c:manualLayout>
          <c:xMode val="edge"/>
          <c:yMode val="edge"/>
          <c:x val="0.29946957393299084"/>
          <c:y val="2.6021828010879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ANALISIS!$I$2</c:f>
              <c:strCache>
                <c:ptCount val="1"/>
                <c:pt idx="0">
                  <c:v>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ANALISIS!$A$3:$A$6</c:f>
              <c:numCache>
                <c:formatCode>General</c:formatCode>
                <c:ptCount val="4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</c:numCache>
            </c:numRef>
          </c:cat>
          <c:val>
            <c:numRef>
              <c:f>ANALISIS!$I$3:$I$6</c:f>
              <c:numCache>
                <c:formatCode>0%</c:formatCode>
                <c:ptCount val="4"/>
                <c:pt idx="1">
                  <c:v>0.29999999999999993</c:v>
                </c:pt>
                <c:pt idx="2">
                  <c:v>0.80512820512820538</c:v>
                </c:pt>
                <c:pt idx="3">
                  <c:v>0.34469696969696956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2-4B15-A71D-FE4E642ED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4281688"/>
        <c:axId val="274282344"/>
        <c:axId val="0"/>
      </c:bar3DChart>
      <c:catAx>
        <c:axId val="27428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282344"/>
        <c:crosses val="autoZero"/>
        <c:auto val="1"/>
        <c:lblAlgn val="ctr"/>
        <c:lblOffset val="100"/>
        <c:noMultiLvlLbl val="0"/>
      </c:catAx>
      <c:valAx>
        <c:axId val="274282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4281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F0000"/>
                </a:solidFill>
              </a:rPr>
              <a:t>% INCREMENTO CEMENTO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ANALISIS!$E$2</c:f>
              <c:strCache>
                <c:ptCount val="1"/>
                <c:pt idx="0">
                  <c:v>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ANALISIS!$A$3:$A$6</c:f>
              <c:numCache>
                <c:formatCode>General</c:formatCode>
                <c:ptCount val="4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</c:numCache>
            </c:numRef>
          </c:cat>
          <c:val>
            <c:numRef>
              <c:f>ANALISIS!$E$3:$E$6</c:f>
              <c:numCache>
                <c:formatCode>0%</c:formatCode>
                <c:ptCount val="4"/>
                <c:pt idx="1">
                  <c:v>0.3</c:v>
                </c:pt>
                <c:pt idx="2">
                  <c:v>0.36923076923076931</c:v>
                </c:pt>
                <c:pt idx="3">
                  <c:v>0.46067415730337075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4-4D90-A86B-1D3871E8C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6656120"/>
        <c:axId val="396653168"/>
        <c:axId val="0"/>
      </c:bar3DChart>
      <c:catAx>
        <c:axId val="39665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6653168"/>
        <c:crosses val="autoZero"/>
        <c:auto val="1"/>
        <c:lblAlgn val="ctr"/>
        <c:lblOffset val="100"/>
        <c:noMultiLvlLbl val="0"/>
      </c:catAx>
      <c:valAx>
        <c:axId val="39665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665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F0000"/>
                </a:solidFill>
              </a:rPr>
              <a:t>% INCREMENTO ARENA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ANALISIS!$M$2</c:f>
              <c:strCache>
                <c:ptCount val="1"/>
                <c:pt idx="0">
                  <c:v>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ANALISIS!$A$3:$A$6</c:f>
              <c:numCache>
                <c:formatCode>General</c:formatCode>
                <c:ptCount val="4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</c:numCache>
            </c:numRef>
          </c:cat>
          <c:val>
            <c:numRef>
              <c:f>ANALISIS!$M$3:$M$6</c:f>
              <c:numCache>
                <c:formatCode>0%</c:formatCode>
                <c:ptCount val="4"/>
                <c:pt idx="1">
                  <c:v>0.55555555555555558</c:v>
                </c:pt>
                <c:pt idx="2">
                  <c:v>1.7857142857142858</c:v>
                </c:pt>
                <c:pt idx="3">
                  <c:v>-0.23076923076923078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1-412C-98E3-6AA7F4817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4265520"/>
        <c:axId val="404266176"/>
        <c:axId val="0"/>
      </c:bar3DChart>
      <c:catAx>
        <c:axId val="4042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4266176"/>
        <c:crosses val="autoZero"/>
        <c:auto val="1"/>
        <c:lblAlgn val="ctr"/>
        <c:lblOffset val="100"/>
        <c:noMultiLvlLbl val="0"/>
      </c:catAx>
      <c:valAx>
        <c:axId val="4042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426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F0000"/>
                </a:solidFill>
              </a:rPr>
              <a:t>%INCREMENTO LADRILLO</a:t>
            </a:r>
          </a:p>
          <a:p>
            <a:pPr>
              <a:defRPr>
                <a:solidFill>
                  <a:srgbClr val="FF0000"/>
                </a:solidFill>
              </a:defRPr>
            </a:pPr>
            <a:r>
              <a:rPr lang="en-US" baseline="0">
                <a:solidFill>
                  <a:srgbClr val="FF000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ANALISIS!$Q$2</c:f>
              <c:strCache>
                <c:ptCount val="1"/>
                <c:pt idx="0">
                  <c:v>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ANALISIS!$A$3:$A$6</c:f>
              <c:numCache>
                <c:formatCode>General</c:formatCode>
                <c:ptCount val="4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</c:numCache>
            </c:numRef>
          </c:cat>
          <c:val>
            <c:numRef>
              <c:f>ANALISIS!$Q$3:$Q$6</c:f>
              <c:numCache>
                <c:formatCode>0%</c:formatCode>
                <c:ptCount val="4"/>
                <c:pt idx="1">
                  <c:v>0.65</c:v>
                </c:pt>
                <c:pt idx="2">
                  <c:v>1.4242424242424243</c:v>
                </c:pt>
                <c:pt idx="3">
                  <c:v>-0.18750000000000003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6-4915-A5D5-91CCA44CF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8475880"/>
        <c:axId val="337921136"/>
        <c:axId val="0"/>
      </c:bar3DChart>
      <c:catAx>
        <c:axId val="39847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7921136"/>
        <c:crosses val="autoZero"/>
        <c:auto val="1"/>
        <c:lblAlgn val="ctr"/>
        <c:lblOffset val="100"/>
        <c:noMultiLvlLbl val="0"/>
      </c:catAx>
      <c:valAx>
        <c:axId val="33792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8475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F0000"/>
                </a:solidFill>
              </a:rPr>
              <a:t>% INCREMENTO PAÑETE</a:t>
            </a:r>
          </a:p>
          <a:p>
            <a:pPr>
              <a:defRPr>
                <a:solidFill>
                  <a:srgbClr val="FF0000"/>
                </a:solidFill>
              </a:defRPr>
            </a:pPr>
            <a:endParaRPr lang="en-US" baseline="0">
              <a:solidFill>
                <a:srgbClr val="FF0000"/>
              </a:solidFill>
            </a:endParaRPr>
          </a:p>
          <a:p>
            <a:pPr>
              <a:defRPr>
                <a:solidFill>
                  <a:srgbClr val="FF0000"/>
                </a:solidFill>
              </a:defRPr>
            </a:pPr>
            <a:endParaRPr lang="en-US" baseline="0">
              <a:solidFill>
                <a:srgbClr val="FF0000"/>
              </a:solidFill>
            </a:endParaRPr>
          </a:p>
          <a:p>
            <a:pPr>
              <a:defRPr>
                <a:solidFill>
                  <a:srgbClr val="FF0000"/>
                </a:solidFill>
              </a:defRPr>
            </a:pPr>
            <a:r>
              <a:rPr lang="en-US" baseline="0">
                <a:solidFill>
                  <a:srgbClr val="FF000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ANALISIS!$U$2</c:f>
              <c:strCache>
                <c:ptCount val="1"/>
                <c:pt idx="0">
                  <c:v>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ANALISIS!$A$3:$A$6</c:f>
              <c:numCache>
                <c:formatCode>General</c:formatCode>
                <c:ptCount val="4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</c:numCache>
            </c:numRef>
          </c:cat>
          <c:val>
            <c:numRef>
              <c:f>ANALISIS!$U$3:$U$6</c:f>
              <c:numCache>
                <c:formatCode>0%</c:formatCode>
                <c:ptCount val="4"/>
                <c:pt idx="1">
                  <c:v>-0.19354838709677422</c:v>
                </c:pt>
                <c:pt idx="2">
                  <c:v>0.15999999999999998</c:v>
                </c:pt>
                <c:pt idx="3">
                  <c:v>0.34137931034482766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B-4891-A23A-C094D6E57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7079160"/>
        <c:axId val="407078832"/>
        <c:axId val="0"/>
      </c:bar3DChart>
      <c:catAx>
        <c:axId val="407079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7078832"/>
        <c:crosses val="autoZero"/>
        <c:auto val="1"/>
        <c:lblAlgn val="ctr"/>
        <c:lblOffset val="100"/>
        <c:noMultiLvlLbl val="0"/>
      </c:catAx>
      <c:valAx>
        <c:axId val="40707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7079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F0000"/>
                </a:solidFill>
              </a:rPr>
              <a:t>% INCREMENTO ESTUCO</a:t>
            </a:r>
          </a:p>
          <a:p>
            <a:pPr>
              <a:defRPr>
                <a:solidFill>
                  <a:srgbClr val="FF0000"/>
                </a:solidFill>
              </a:defRPr>
            </a:pPr>
            <a:r>
              <a:rPr lang="en-US" baseline="0">
                <a:solidFill>
                  <a:srgbClr val="FF000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ANALISIS!$Y$2</c:f>
              <c:strCache>
                <c:ptCount val="1"/>
                <c:pt idx="0">
                  <c:v>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ANALISIS!$A$3:$A$6</c:f>
              <c:numCache>
                <c:formatCode>General</c:formatCode>
                <c:ptCount val="4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</c:numCache>
            </c:numRef>
          </c:cat>
          <c:val>
            <c:numRef>
              <c:f>ANALISIS!$Y$3:$Y$6</c:f>
              <c:numCache>
                <c:formatCode>0%</c:formatCode>
                <c:ptCount val="4"/>
                <c:pt idx="1">
                  <c:v>0.5</c:v>
                </c:pt>
                <c:pt idx="2">
                  <c:v>0.60000000000000009</c:v>
                </c:pt>
                <c:pt idx="3">
                  <c:v>0.24861111111111112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0-458F-BFCF-DDBF7F42E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4307968"/>
        <c:axId val="424306000"/>
        <c:axId val="0"/>
      </c:bar3DChart>
      <c:catAx>
        <c:axId val="42430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4306000"/>
        <c:crosses val="autoZero"/>
        <c:auto val="1"/>
        <c:lblAlgn val="ctr"/>
        <c:lblOffset val="100"/>
        <c:noMultiLvlLbl val="0"/>
      </c:catAx>
      <c:valAx>
        <c:axId val="42430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430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FF0000"/>
                </a:solidFill>
              </a:rPr>
              <a:t>% INCREMENTO PINTURA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ANALISIS!$AC$2</c:f>
              <c:strCache>
                <c:ptCount val="1"/>
                <c:pt idx="0">
                  <c:v>%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ANALISIS!$A$3:$A$6</c:f>
              <c:numCache>
                <c:formatCode>General</c:formatCode>
                <c:ptCount val="4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</c:numCache>
            </c:numRef>
          </c:cat>
          <c:val>
            <c:numRef>
              <c:f>ANALISIS!$AC$3:$AC$6</c:f>
              <c:numCache>
                <c:formatCode>0%</c:formatCode>
                <c:ptCount val="4"/>
                <c:pt idx="1">
                  <c:v>0.16666666666666666</c:v>
                </c:pt>
                <c:pt idx="2">
                  <c:v>0.7142857142857143</c:v>
                </c:pt>
                <c:pt idx="3">
                  <c:v>-0.13333333333333333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1-464A-8724-2D8937D22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1956536"/>
        <c:axId val="411952600"/>
        <c:axId val="0"/>
      </c:bar3DChart>
      <c:catAx>
        <c:axId val="41195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952600"/>
        <c:crosses val="autoZero"/>
        <c:auto val="1"/>
        <c:lblAlgn val="ctr"/>
        <c:lblOffset val="100"/>
        <c:noMultiLvlLbl val="0"/>
      </c:catAx>
      <c:valAx>
        <c:axId val="41195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956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2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2220" b="1" i="0" baseline="0">
                <a:solidFill>
                  <a:srgbClr val="FF0000"/>
                </a:solidFill>
              </a:rPr>
              <a:t>ANALISIS DE DATOS EXPLORATORIOS</a:t>
            </a:r>
          </a:p>
          <a:p>
            <a:pPr>
              <a:defRPr sz="2220" b="1">
                <a:solidFill>
                  <a:srgbClr val="FF0000"/>
                </a:solidFill>
              </a:defRPr>
            </a:pPr>
            <a:r>
              <a:rPr lang="en-US" sz="2220" b="1" i="0" baseline="0">
                <a:solidFill>
                  <a:srgbClr val="FF0000"/>
                </a:solidFill>
              </a:rPr>
              <a:t>PROMEDIO DE INCREMENTACION DE MATERIALES CRITICOS EN 15 AÑOS</a:t>
            </a:r>
          </a:p>
        </c:rich>
      </c:tx>
      <c:layout>
        <c:manualLayout>
          <c:xMode val="edge"/>
          <c:yMode val="edge"/>
          <c:x val="0.18613799433810568"/>
          <c:y val="7.9377954122724456E-2"/>
        </c:manualLayout>
      </c:layout>
      <c:overlay val="0"/>
      <c:spPr>
        <a:solidFill>
          <a:srgbClr val="FFFF00"/>
        </a:solidFill>
        <a:ln w="381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2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ANALISIS!$A$7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ANALISIS!$A$25:$A$31</c:f>
              <c:strCache>
                <c:ptCount val="7"/>
                <c:pt idx="0">
                  <c:v>CEMENTO</c:v>
                </c:pt>
                <c:pt idx="1">
                  <c:v>HIERRO</c:v>
                </c:pt>
                <c:pt idx="2">
                  <c:v>ARENA</c:v>
                </c:pt>
                <c:pt idx="3">
                  <c:v>LADRILLO</c:v>
                </c:pt>
                <c:pt idx="4">
                  <c:v>PAÑETE</c:v>
                </c:pt>
                <c:pt idx="5">
                  <c:v>ESTUCO</c:v>
                </c:pt>
                <c:pt idx="6">
                  <c:v>PINTURA</c:v>
                </c:pt>
              </c:strCache>
            </c:strRef>
          </c:cat>
          <c:val>
            <c:numRef>
              <c:f>(ANALISIS!$E$7,ANALISIS!$I$7,ANALISIS!$M$7,ANALISIS!$Q$7,ANALISIS!$U$7,ANALISIS!$Y$7,ANALISIS!$AC$7)</c:f>
              <c:numCache>
                <c:formatCode>0%</c:formatCode>
                <c:ptCount val="7"/>
                <c:pt idx="0">
                  <c:v>0.37663497551138003</c:v>
                </c:pt>
                <c:pt idx="1">
                  <c:v>0.48327505827505823</c:v>
                </c:pt>
                <c:pt idx="2">
                  <c:v>0.70350020350020348</c:v>
                </c:pt>
                <c:pt idx="3">
                  <c:v>0.62891414141414137</c:v>
                </c:pt>
                <c:pt idx="4">
                  <c:v>0.10261030774935113</c:v>
                </c:pt>
                <c:pt idx="5">
                  <c:v>0.44953703703703707</c:v>
                </c:pt>
                <c:pt idx="6">
                  <c:v>0.24920634920634921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E-4F55-B8E9-DBB929465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0668920"/>
        <c:axId val="410669904"/>
        <c:axId val="0"/>
      </c:bar3DChart>
      <c:catAx>
        <c:axId val="41066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669904"/>
        <c:crosses val="autoZero"/>
        <c:auto val="1"/>
        <c:lblAlgn val="ctr"/>
        <c:lblOffset val="100"/>
        <c:noMultiLvlLbl val="0"/>
      </c:catAx>
      <c:valAx>
        <c:axId val="41066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668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u="sng"/>
              <a:t>inflacion anual precio </a:t>
            </a:r>
            <a:r>
              <a:rPr lang="en-US" sz="2400"/>
              <a:t>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PRECIO CEM VS INF PAIS'!$J$1</c:f>
              <c:strCache>
                <c:ptCount val="1"/>
                <c:pt idx="0">
                  <c:v>INCRE_ producto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17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684991341501878"/>
                  <c:y val="-8.336792973806926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="1" baseline="0">
                        <a:solidFill>
                          <a:srgbClr val="FF0000"/>
                        </a:solidFill>
                      </a:rPr>
                      <a:t>y = 0,6956x - 2,7387</a:t>
                    </a:r>
                    <a:br>
                      <a:rPr lang="en-US" sz="1600" b="1" baseline="0">
                        <a:solidFill>
                          <a:srgbClr val="FF0000"/>
                        </a:solidFill>
                      </a:rPr>
                    </a:br>
                    <a:r>
                      <a:rPr lang="en-US" sz="1600" b="1" baseline="0">
                        <a:solidFill>
                          <a:srgbClr val="FF0000"/>
                        </a:solidFill>
                      </a:rPr>
                      <a:t>R² = 0,3293</a:t>
                    </a:r>
                    <a:endParaRPr lang="en-US" sz="1600" b="1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cat>
            <c:strRef>
              <c:f>' PRECIO CEM VS INF PAIS'!$G$2:$G$10</c:f>
              <c:strCache>
                <c:ptCount val="9"/>
                <c:pt idx="0">
                  <c:v>2016-12</c:v>
                </c:pt>
                <c:pt idx="1">
                  <c:v>2017-12</c:v>
                </c:pt>
                <c:pt idx="2">
                  <c:v>2018-12</c:v>
                </c:pt>
                <c:pt idx="3">
                  <c:v>2019-12</c:v>
                </c:pt>
                <c:pt idx="4">
                  <c:v>2020-12</c:v>
                </c:pt>
                <c:pt idx="5">
                  <c:v>2021-12</c:v>
                </c:pt>
                <c:pt idx="6">
                  <c:v>2022-12</c:v>
                </c:pt>
                <c:pt idx="7">
                  <c:v>2023-12</c:v>
                </c:pt>
                <c:pt idx="8">
                  <c:v>2024-12</c:v>
                </c:pt>
              </c:strCache>
            </c:strRef>
          </c:cat>
          <c:val>
            <c:numRef>
              <c:f>' PRECIO CEM VS INF PAIS'!$J$2:$J$10</c:f>
              <c:numCache>
                <c:formatCode>0%</c:formatCode>
                <c:ptCount val="9"/>
                <c:pt idx="1">
                  <c:v>-3.1416549789621315E-2</c:v>
                </c:pt>
                <c:pt idx="2">
                  <c:v>4.3440486533449446E-3</c:v>
                </c:pt>
                <c:pt idx="3">
                  <c:v>-3.2583621683967709E-2</c:v>
                </c:pt>
                <c:pt idx="4">
                  <c:v>3.6761053154495661E-2</c:v>
                </c:pt>
                <c:pt idx="5">
                  <c:v>4.2261619549592823E-2</c:v>
                </c:pt>
                <c:pt idx="6">
                  <c:v>3.7421846267009867E-2</c:v>
                </c:pt>
                <c:pt idx="7">
                  <c:v>2.0384649472657956E-2</c:v>
                </c:pt>
                <c:pt idx="8">
                  <c:v>9.8149917484583495E-3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0-4394-A995-B16F498B53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80021520"/>
        <c:axId val="580019880"/>
      </c:lineChart>
      <c:catAx>
        <c:axId val="580021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u="sng"/>
                  <a:t>DICIEMBRE</a:t>
                </a:r>
                <a:r>
                  <a:rPr lang="en-US" sz="1600" b="1" u="sng" baseline="0"/>
                  <a:t> DE LOS AÑOS</a:t>
                </a:r>
                <a:endParaRPr lang="en-US" sz="1600" b="1" u="s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0019880"/>
        <c:crosses val="autoZero"/>
        <c:auto val="1"/>
        <c:lblAlgn val="ctr"/>
        <c:lblOffset val="100"/>
        <c:noMultiLvlLbl val="0"/>
      </c:catAx>
      <c:valAx>
        <c:axId val="58001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0021520"/>
        <c:crosses val="autoZero"/>
        <c:crossBetween val="between"/>
      </c:valAx>
      <c:spPr>
        <a:noFill/>
        <a:ln w="22225">
          <a:noFill/>
        </a:ln>
        <a:effectLst/>
      </c:spPr>
    </c:plotArea>
    <c:plotVisOnly val="1"/>
    <c:dispBlanksAs val="gap"/>
    <c:showDLblsOverMax val="0"/>
  </c:chart>
  <c:spPr>
    <a:solidFill>
      <a:srgbClr val="FFFF00"/>
    </a:solidFill>
    <a:ln w="444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433938573442467"/>
          <c:y val="2.6726946767827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1639061432097722"/>
          <c:y val="0.12926365223928188"/>
          <c:w val="0.85751762912284268"/>
          <c:h val="0.76990626458346978"/>
        </c:manualLayout>
      </c:layout>
      <c:scatterChart>
        <c:scatterStyle val="lineMarker"/>
        <c:varyColors val="0"/>
        <c:ser>
          <c:idx val="0"/>
          <c:order val="0"/>
          <c:tx>
            <c:strRef>
              <c:f>' PRECIO CEM VS INF PAIS'!$K$1</c:f>
              <c:strCache>
                <c:ptCount val="1"/>
                <c:pt idx="0">
                  <c:v>inflacion anual españa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17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822323881939525"/>
                  <c:y val="-5.073853083647594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="1" baseline="0">
                        <a:solidFill>
                          <a:srgbClr val="FF0000"/>
                        </a:solidFill>
                      </a:rPr>
                      <a:t>y = 0,425x - 856,02</a:t>
                    </a:r>
                    <a:br>
                      <a:rPr lang="en-US" sz="1600" b="1" baseline="0">
                        <a:solidFill>
                          <a:srgbClr val="FF0000"/>
                        </a:solidFill>
                      </a:rPr>
                    </a:br>
                    <a:r>
                      <a:rPr lang="en-US" sz="1600" b="1" baseline="0">
                        <a:solidFill>
                          <a:srgbClr val="FF0000"/>
                        </a:solidFill>
                      </a:rPr>
                      <a:t>R² = 0,2518</a:t>
                    </a:r>
                    <a:endParaRPr lang="en-US" sz="1600" b="1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 PRECIO CEM VS INF PAIS'!$H$2:$H$10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xVal>
          <c:yVal>
            <c:numRef>
              <c:f>' PRECIO CEM VS INF PAIS'!$K$2:$K$10</c:f>
              <c:numCache>
                <c:formatCode>0%</c:formatCode>
                <c:ptCount val="9"/>
                <c:pt idx="0">
                  <c:v>0.13</c:v>
                </c:pt>
                <c:pt idx="1">
                  <c:v>0.11</c:v>
                </c:pt>
                <c:pt idx="2">
                  <c:v>0.12</c:v>
                </c:pt>
                <c:pt idx="3">
                  <c:v>0.08</c:v>
                </c:pt>
                <c:pt idx="4">
                  <c:v>0.06</c:v>
                </c:pt>
                <c:pt idx="5">
                  <c:v>0.19</c:v>
                </c:pt>
                <c:pt idx="6">
                  <c:v>0.21</c:v>
                </c:pt>
                <c:pt idx="7">
                  <c:v>0.23</c:v>
                </c:pt>
                <c:pt idx="8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10-49C9-9995-B2E0BD40CDF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09758176"/>
        <c:axId val="409758504"/>
      </c:scatterChart>
      <c:valAx>
        <c:axId val="40975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u="sng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9758504"/>
        <c:crosses val="autoZero"/>
        <c:crossBetween val="midCat"/>
      </c:valAx>
      <c:valAx>
        <c:axId val="40975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u="sng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975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00"/>
    </a:solidFill>
    <a:ln w="444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sng"/>
              <a:t>DIFERENCIA</a:t>
            </a:r>
            <a:r>
              <a:rPr lang="en-US" sz="2400" b="1" i="0" u="sng" baseline="0"/>
              <a:t> ENTRE PREC Y INF PAIS</a:t>
            </a:r>
            <a:endParaRPr lang="en-US" sz="2400" b="1" i="0" u="sng"/>
          </a:p>
        </c:rich>
      </c:tx>
      <c:layout>
        <c:manualLayout>
          <c:xMode val="edge"/>
          <c:yMode val="edge"/>
          <c:x val="0.16409253399739918"/>
          <c:y val="2.11385377746882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 PRECIO CEM VS INF PAIS'!$L$1</c:f>
              <c:strCache>
                <c:ptCount val="1"/>
                <c:pt idx="0">
                  <c:v>PREC CEMENTO y INF ESPAÑA</c:v>
                </c:pt>
              </c:strCache>
            </c:strRef>
          </c:tx>
          <c:spPr>
            <a:ln w="73025" cap="rnd" cmpd="sng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 PRECIO CEM VS INF PAIS'!$H$2:$H$10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 PRECIO CEM VS INF PAIS'!$L$2:$L$10</c:f>
              <c:numCache>
                <c:formatCode>0%</c:formatCode>
                <c:ptCount val="9"/>
                <c:pt idx="0">
                  <c:v>0.13</c:v>
                </c:pt>
                <c:pt idx="1">
                  <c:v>0.14141654978962132</c:v>
                </c:pt>
                <c:pt idx="2">
                  <c:v>0.11565595134665504</c:v>
                </c:pt>
                <c:pt idx="3">
                  <c:v>0.11258362168396771</c:v>
                </c:pt>
                <c:pt idx="4">
                  <c:v>2.3238946845504337E-2</c:v>
                </c:pt>
                <c:pt idx="5">
                  <c:v>0.14773838045040719</c:v>
                </c:pt>
                <c:pt idx="6">
                  <c:v>0.17257815373299012</c:v>
                </c:pt>
                <c:pt idx="7">
                  <c:v>0.20961535052734206</c:v>
                </c:pt>
                <c:pt idx="8">
                  <c:v>0.18018500825154166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40-489F-A0A6-B37480B3F3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7912976"/>
        <c:axId val="457919864"/>
      </c:lineChart>
      <c:catAx>
        <c:axId val="45791297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7919864"/>
        <c:crosses val="autoZero"/>
        <c:auto val="1"/>
        <c:lblAlgn val="ctr"/>
        <c:lblOffset val="100"/>
        <c:noMultiLvlLbl val="0"/>
      </c:catAx>
      <c:valAx>
        <c:axId val="45791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791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700800729600384E-2"/>
          <c:y val="0.84190689745204339"/>
          <c:w val="0.96160057221775885"/>
          <c:h val="0.143464237993580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00"/>
    </a:solidFill>
    <a:ln w="381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PRECIO CEM VS INF PAIS'!$Q$3</c:f>
              <c:strCache>
                <c:ptCount val="1"/>
                <c:pt idx="0">
                  <c:v>precio a cierre de año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5080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991736009596348"/>
                  <c:y val="-1.77295489901674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 PRECIO CEM VS INF PAIS'!$P$4:$P$12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xVal>
          <c:yVal>
            <c:numRef>
              <c:f>' PRECIO CEM VS INF PAIS'!$Q$4:$Q$12</c:f>
              <c:numCache>
                <c:formatCode>0.00</c:formatCode>
                <c:ptCount val="9"/>
                <c:pt idx="0">
                  <c:v>106.95</c:v>
                </c:pt>
                <c:pt idx="1">
                  <c:v>103.59</c:v>
                </c:pt>
                <c:pt idx="2">
                  <c:v>104.04</c:v>
                </c:pt>
                <c:pt idx="3">
                  <c:v>100.65</c:v>
                </c:pt>
                <c:pt idx="4">
                  <c:v>104.35</c:v>
                </c:pt>
                <c:pt idx="5">
                  <c:v>108.76</c:v>
                </c:pt>
                <c:pt idx="6">
                  <c:v>112.83</c:v>
                </c:pt>
                <c:pt idx="7">
                  <c:v>115.13</c:v>
                </c:pt>
                <c:pt idx="8">
                  <c:v>116.26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3F-46A6-BBA2-2E83AD707D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57946104"/>
        <c:axId val="457943480"/>
      </c:scatterChart>
      <c:valAx>
        <c:axId val="457946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1" u="sng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7943480"/>
        <c:crosses val="autoZero"/>
        <c:crossBetween val="midCat"/>
      </c:valAx>
      <c:valAx>
        <c:axId val="45794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 u="sng"/>
                  <a:t>valores en euros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7946104"/>
        <c:crosses val="autoZero"/>
        <c:crossBetween val="midCat"/>
      </c:valAx>
      <c:spPr>
        <a:solidFill>
          <a:srgbClr val="FFFF00"/>
        </a:solidFill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444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 CEMENTO  2016 / 2024</a:t>
            </a:r>
          </a:p>
          <a:p>
            <a:pPr>
              <a:defRPr sz="2400" b="1" u="sng"/>
            </a:pPr>
            <a:endParaRPr lang="en-US"/>
          </a:p>
        </c:rich>
      </c:tx>
      <c:layout>
        <c:manualLayout>
          <c:xMode val="edge"/>
          <c:yMode val="edge"/>
          <c:x val="0.54616559281717592"/>
          <c:y val="2.2314649102770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 PRECIO CEM VS INF PAIS'!$U$41</c:f>
              <c:strCache>
                <c:ptCount val="1"/>
                <c:pt idx="0">
                  <c:v>FR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5A3-459F-9AA7-4277E86071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A3-459F-9AA7-4277E86071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5A3-459F-9AA7-4277E86071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A3-459F-9AA7-4277E8607197}"/>
              </c:ext>
            </c:extLst>
          </c:dPt>
          <c:dLbls>
            <c:dLbl>
              <c:idx val="0"/>
              <c:layout>
                <c:manualLayout>
                  <c:x val="-0.10266763485789951"/>
                  <c:y val="-6.142733759556370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8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630203992979221E-2"/>
                      <c:h val="0.109737667689758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5A3-459F-9AA7-4277E8607197}"/>
                </c:ext>
              </c:extLst>
            </c:dLbl>
            <c:dLbl>
              <c:idx val="1"/>
              <c:layout>
                <c:manualLayout>
                  <c:x val="5.8353762224182058E-2"/>
                  <c:y val="-0.1334668710237584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A3-459F-9AA7-4277E8607197}"/>
                </c:ext>
              </c:extLst>
            </c:dLbl>
            <c:dLbl>
              <c:idx val="2"/>
              <c:layout>
                <c:manualLayout>
                  <c:x val="8.0791691757839401E-2"/>
                  <c:y val="-3.898725642764465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A3-459F-9AA7-4277E8607197}"/>
                </c:ext>
              </c:extLst>
            </c:dLbl>
            <c:dLbl>
              <c:idx val="3"/>
              <c:layout>
                <c:manualLayout>
                  <c:x val="6.0274650280002132E-2"/>
                  <c:y val="0.1470249971580775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8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479393691178834E-2"/>
                      <c:h val="7.882251638841959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5A3-459F-9AA7-4277E86071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8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PRECIO CEM VS INF PAIS'!$O$42:$O$45</c:f>
              <c:strCache>
                <c:ptCount val="4"/>
                <c:pt idx="0">
                  <c:v>Bajo</c:v>
                </c:pt>
                <c:pt idx="1">
                  <c:v>Regular</c:v>
                </c:pt>
                <c:pt idx="2">
                  <c:v>Bueno</c:v>
                </c:pt>
                <c:pt idx="3">
                  <c:v>Exclente</c:v>
                </c:pt>
              </c:strCache>
            </c:strRef>
          </c:cat>
          <c:val>
            <c:numRef>
              <c:f>' PRECIO CEM VS INF PAIS'!$U$42:$U$45</c:f>
              <c:numCache>
                <c:formatCode>0%</c:formatCode>
                <c:ptCount val="4"/>
                <c:pt idx="0">
                  <c:v>0.47222222222222221</c:v>
                </c:pt>
                <c:pt idx="1">
                  <c:v>0.17592592592592593</c:v>
                </c:pt>
                <c:pt idx="2">
                  <c:v>0.12962962962962962</c:v>
                </c:pt>
                <c:pt idx="3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3-459F-9AA7-4277E86071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476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111111111111108E-2"/>
          <c:y val="0.13930555555555554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strRef>
              <c:f>' PRECIO CEM VS INF PAIS'!$U$41</c:f>
              <c:strCache>
                <c:ptCount val="1"/>
                <c:pt idx="0">
                  <c:v>FR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FD7-4C98-BB27-9087AFF58E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FD7-4C98-BB27-9087AFF58E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FD7-4C98-BB27-9087AFF58E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FD7-4C98-BB27-9087AFF58E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PRECIO CEM VS INF PAIS'!$O$42:$O$45</c:f>
              <c:strCache>
                <c:ptCount val="4"/>
                <c:pt idx="0">
                  <c:v>Bajo</c:v>
                </c:pt>
                <c:pt idx="1">
                  <c:v>Regular</c:v>
                </c:pt>
                <c:pt idx="2">
                  <c:v>Bueno</c:v>
                </c:pt>
                <c:pt idx="3">
                  <c:v>Exclente</c:v>
                </c:pt>
              </c:strCache>
            </c:strRef>
          </c:cat>
          <c:val>
            <c:numRef>
              <c:f>' PRECIO CEM VS INF PAIS'!$U$42:$U$45</c:f>
              <c:numCache>
                <c:formatCode>0%</c:formatCode>
                <c:ptCount val="4"/>
                <c:pt idx="0">
                  <c:v>0.47222222222222221</c:v>
                </c:pt>
                <c:pt idx="1">
                  <c:v>0.17592592592592593</c:v>
                </c:pt>
                <c:pt idx="2">
                  <c:v>0.12962962962962962</c:v>
                </c:pt>
                <c:pt idx="3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0-470A-B019-ADBB89E787D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603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FR CEMENTO</a:t>
            </a:r>
          </a:p>
        </c:rich>
      </c:tx>
      <c:layout>
        <c:manualLayout>
          <c:xMode val="edge"/>
          <c:yMode val="edge"/>
          <c:x val="0.4535415573053368"/>
          <c:y val="6.8181818181818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447003499562554"/>
          <c:y val="0.20522727272727273"/>
          <c:w val="0.87062270341207348"/>
          <c:h val="0.53425495108565968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 COMPARACION FR'!$R$2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COMPARACION FR'!$N$3:$N$7</c:f>
              <c:strCache>
                <c:ptCount val="5"/>
                <c:pt idx="0">
                  <c:v>i muy bajo</c:v>
                </c:pt>
                <c:pt idx="1">
                  <c:v>i bajo</c:v>
                </c:pt>
                <c:pt idx="2">
                  <c:v>i medio</c:v>
                </c:pt>
                <c:pt idx="3">
                  <c:v>i alto</c:v>
                </c:pt>
                <c:pt idx="4">
                  <c:v>i muy alto</c:v>
                </c:pt>
              </c:strCache>
            </c:strRef>
          </c:cat>
          <c:val>
            <c:numRef>
              <c:f>' COMPARACION FR'!$R$3:$R$7</c:f>
              <c:numCache>
                <c:formatCode>0%</c:formatCode>
                <c:ptCount val="5"/>
                <c:pt idx="0">
                  <c:v>0.3364485981308411</c:v>
                </c:pt>
                <c:pt idx="1">
                  <c:v>0.24299065420560748</c:v>
                </c:pt>
                <c:pt idx="2">
                  <c:v>9.3457943925233641E-2</c:v>
                </c:pt>
                <c:pt idx="3">
                  <c:v>0.15887850467289719</c:v>
                </c:pt>
                <c:pt idx="4">
                  <c:v>0.16822429906542055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C-40D8-A980-529EC627E0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94077680"/>
        <c:axId val="494081944"/>
        <c:axId val="0"/>
      </c:bar3DChart>
      <c:catAx>
        <c:axId val="49407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u="sng"/>
                  <a:t>AÑO 2016 /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4081944"/>
        <c:crosses val="autoZero"/>
        <c:auto val="1"/>
        <c:lblAlgn val="ctr"/>
        <c:lblOffset val="100"/>
        <c:noMultiLvlLbl val="0"/>
      </c:catAx>
      <c:valAx>
        <c:axId val="49408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layout>
            <c:manualLayout>
              <c:xMode val="edge"/>
              <c:yMode val="edge"/>
              <c:x val="3.5382545931758526E-2"/>
              <c:y val="0.2575125268432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407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17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FR DE ARENA</a:t>
            </a:r>
          </a:p>
        </c:rich>
      </c:tx>
      <c:layout>
        <c:manualLayout>
          <c:xMode val="edge"/>
          <c:yMode val="edge"/>
          <c:x val="0.48050000000000009"/>
          <c:y val="4.3010752688172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724781277340331"/>
          <c:y val="0.21569892473118282"/>
          <c:w val="0.87258092738407711"/>
          <c:h val="0.5162842547907317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 COMPARACION FR'!$R$12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COMPARACION FR'!$N$13:$N$17</c:f>
              <c:strCache>
                <c:ptCount val="5"/>
                <c:pt idx="0">
                  <c:v>i muy bajo</c:v>
                </c:pt>
                <c:pt idx="1">
                  <c:v>i bajo</c:v>
                </c:pt>
                <c:pt idx="2">
                  <c:v>i medio</c:v>
                </c:pt>
                <c:pt idx="3">
                  <c:v>i alto</c:v>
                </c:pt>
                <c:pt idx="4">
                  <c:v>i muy alto</c:v>
                </c:pt>
              </c:strCache>
            </c:strRef>
          </c:cat>
          <c:val>
            <c:numRef>
              <c:f>' COMPARACION FR'!$R$13:$R$17</c:f>
              <c:numCache>
                <c:formatCode>0%</c:formatCode>
                <c:ptCount val="5"/>
                <c:pt idx="0">
                  <c:v>0.17592592592592593</c:v>
                </c:pt>
                <c:pt idx="1">
                  <c:v>0.21296296296296297</c:v>
                </c:pt>
                <c:pt idx="2">
                  <c:v>0.14814814814814814</c:v>
                </c:pt>
                <c:pt idx="3">
                  <c:v>0.17592592592592593</c:v>
                </c:pt>
                <c:pt idx="4">
                  <c:v>0.28703703703703703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2-4DA4-859A-DADE4CBF71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94078664"/>
        <c:axId val="494096704"/>
        <c:axId val="0"/>
      </c:bar3DChart>
      <c:catAx>
        <c:axId val="494078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u="sng"/>
                  <a:t>AÑO 2016 /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4096704"/>
        <c:crosses val="autoZero"/>
        <c:auto val="1"/>
        <c:lblAlgn val="ctr"/>
        <c:lblOffset val="100"/>
        <c:noMultiLvlLbl val="0"/>
      </c:catAx>
      <c:valAx>
        <c:axId val="49409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layout>
            <c:manualLayout>
              <c:xMode val="edge"/>
              <c:yMode val="edge"/>
              <c:x val="4.505839895013123E-2"/>
              <c:y val="0.290262749414387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407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2857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FR DEL HIERRO</a:t>
            </a:r>
          </a:p>
        </c:rich>
      </c:tx>
      <c:layout>
        <c:manualLayout>
          <c:xMode val="edge"/>
          <c:yMode val="edge"/>
          <c:x val="0.50110647509267525"/>
          <c:y val="5.0450450450450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064388343209675"/>
          <c:y val="0.14479279279279281"/>
          <c:w val="0.87999761885434413"/>
          <c:h val="0.65781371923104204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 COMPARACION FR'!$R$22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COMPARACION FR'!$N$23:$N$27</c:f>
              <c:strCache>
                <c:ptCount val="5"/>
                <c:pt idx="0">
                  <c:v>i muy bajo</c:v>
                </c:pt>
                <c:pt idx="1">
                  <c:v>i bajo</c:v>
                </c:pt>
                <c:pt idx="2">
                  <c:v>i medio</c:v>
                </c:pt>
                <c:pt idx="3">
                  <c:v>i alto</c:v>
                </c:pt>
                <c:pt idx="4">
                  <c:v>i muy alto</c:v>
                </c:pt>
              </c:strCache>
            </c:strRef>
          </c:cat>
          <c:val>
            <c:numRef>
              <c:f>' COMPARACION FR'!$R$23:$R$27</c:f>
              <c:numCache>
                <c:formatCode>0%</c:formatCode>
                <c:ptCount val="5"/>
                <c:pt idx="0">
                  <c:v>0.17592592592592593</c:v>
                </c:pt>
                <c:pt idx="1">
                  <c:v>0.19444444444444445</c:v>
                </c:pt>
                <c:pt idx="2">
                  <c:v>0.28703703703703703</c:v>
                </c:pt>
                <c:pt idx="3">
                  <c:v>0.12962962962962962</c:v>
                </c:pt>
                <c:pt idx="4">
                  <c:v>0.21296296296296297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A-4A65-9F2B-8A8668FB0E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66924520"/>
        <c:axId val="566919928"/>
        <c:axId val="0"/>
      </c:bar3DChart>
      <c:catAx>
        <c:axId val="566924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u="sng"/>
                  <a:t>AÑO 2016 / 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6919928"/>
        <c:crosses val="autoZero"/>
        <c:auto val="1"/>
        <c:lblAlgn val="ctr"/>
        <c:lblOffset val="100"/>
        <c:noMultiLvlLbl val="0"/>
      </c:catAx>
      <c:valAx>
        <c:axId val="56691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layout>
            <c:manualLayout>
              <c:xMode val="edge"/>
              <c:yMode val="edge"/>
              <c:x val="3.6806017804475469E-2"/>
              <c:y val="0.29962460097893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692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49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FR DEL LADRILLO</a:t>
            </a:r>
          </a:p>
        </c:rich>
      </c:tx>
      <c:layout>
        <c:manualLayout>
          <c:xMode val="edge"/>
          <c:yMode val="edge"/>
          <c:x val="0.4941855670103093"/>
          <c:y val="4.2780748663101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614216521903833"/>
          <c:y val="0.10759358288770055"/>
          <c:w val="0.87653370132857089"/>
          <c:h val="0.64721321599505943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 COMPARACION FR'!$R$32</c:f>
              <c:strCache>
                <c:ptCount val="1"/>
                <c:pt idx="0">
                  <c:v>fr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COMPARACION FR'!$N$33:$N$37</c:f>
              <c:strCache>
                <c:ptCount val="5"/>
                <c:pt idx="0">
                  <c:v>i muy bajo</c:v>
                </c:pt>
                <c:pt idx="1">
                  <c:v>i bajo</c:v>
                </c:pt>
                <c:pt idx="2">
                  <c:v>i medio</c:v>
                </c:pt>
                <c:pt idx="3">
                  <c:v>i alto</c:v>
                </c:pt>
                <c:pt idx="4">
                  <c:v>i muy alto</c:v>
                </c:pt>
              </c:strCache>
            </c:strRef>
          </c:cat>
          <c:val>
            <c:numRef>
              <c:f>' COMPARACION FR'!$R$33:$R$37</c:f>
              <c:numCache>
                <c:formatCode>0%</c:formatCode>
                <c:ptCount val="5"/>
                <c:pt idx="0">
                  <c:v>0.15238095238095239</c:v>
                </c:pt>
                <c:pt idx="1">
                  <c:v>0.19047619047619047</c:v>
                </c:pt>
                <c:pt idx="2">
                  <c:v>0.24761904761904763</c:v>
                </c:pt>
                <c:pt idx="3">
                  <c:v>0.26666666666666666</c:v>
                </c:pt>
                <c:pt idx="4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A-4E1F-99DB-9B9B3C2282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66939608"/>
        <c:axId val="566940264"/>
        <c:axId val="0"/>
      </c:bar3DChart>
      <c:catAx>
        <c:axId val="566939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u="sng"/>
                  <a:t>AÑO 2016 /2024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6940264"/>
        <c:crosses val="autoZero"/>
        <c:auto val="1"/>
        <c:lblAlgn val="ctr"/>
        <c:lblOffset val="100"/>
        <c:noMultiLvlLbl val="0"/>
      </c:catAx>
      <c:valAx>
        <c:axId val="56694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layout>
            <c:manualLayout>
              <c:xMode val="edge"/>
              <c:yMode val="edge"/>
              <c:x val="3.399994588305328E-2"/>
              <c:y val="0.25877356239560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6939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81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 u="sng">
                <a:latin typeface="Arial" panose="020B0604020202020204" pitchFamily="34" charset="0"/>
                <a:cs typeface="Arial" panose="020B0604020202020204" pitchFamily="34" charset="0"/>
              </a:rPr>
              <a:t>COMPRACION DE NIVELES DE INFLACION POR MATERIALES</a:t>
            </a:r>
          </a:p>
        </c:rich>
      </c:tx>
      <c:layout>
        <c:manualLayout>
          <c:xMode val="edge"/>
          <c:yMode val="edge"/>
          <c:x val="0.18003027778524272"/>
          <c:y val="1.7344170480904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8729109373273727E-2"/>
          <c:y val="8.9840521539425497E-2"/>
          <c:w val="0.8811796093654608"/>
          <c:h val="0.68826460529970179"/>
        </c:manualLayout>
      </c:layout>
      <c:lineChart>
        <c:grouping val="standard"/>
        <c:varyColors val="0"/>
        <c:ser>
          <c:idx val="0"/>
          <c:order val="0"/>
          <c:tx>
            <c:strRef>
              <c:f>' COMPARACION FR'!$T$42</c:f>
              <c:strCache>
                <c:ptCount val="1"/>
                <c:pt idx="0">
                  <c:v>fr CEMENTO %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9.2145386381133083E-3"/>
                  <c:y val="-4.8671853824866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F74-41D7-988A-5AA2AA3FB9E5}"/>
                </c:ext>
              </c:extLst>
            </c:dLbl>
            <c:dLbl>
              <c:idx val="2"/>
              <c:layout>
                <c:manualLayout>
                  <c:x val="-2.3293142144279272E-2"/>
                  <c:y val="4.36326678759515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F74-41D7-988A-5AA2AA3FB9E5}"/>
                </c:ext>
              </c:extLst>
            </c:dLbl>
            <c:dLbl>
              <c:idx val="3"/>
              <c:layout>
                <c:manualLayout>
                  <c:x val="5.1223665016551248E-2"/>
                  <c:y val="4.69456360612621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F74-41D7-988A-5AA2AA3FB9E5}"/>
                </c:ext>
              </c:extLst>
            </c:dLbl>
            <c:dLbl>
              <c:idx val="4"/>
              <c:layout>
                <c:manualLayout>
                  <c:x val="1.4693989904866084E-2"/>
                  <c:y val="-6.175191653254006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F74-41D7-988A-5AA2AA3FB9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COMPARACION FR'!$S$43:$S$47</c:f>
              <c:strCache>
                <c:ptCount val="5"/>
                <c:pt idx="0">
                  <c:v>i muy bajo</c:v>
                </c:pt>
                <c:pt idx="1">
                  <c:v>i bajo</c:v>
                </c:pt>
                <c:pt idx="2">
                  <c:v>i medio</c:v>
                </c:pt>
                <c:pt idx="3">
                  <c:v>i alto</c:v>
                </c:pt>
                <c:pt idx="4">
                  <c:v>i muy alto</c:v>
                </c:pt>
              </c:strCache>
            </c:strRef>
          </c:cat>
          <c:val>
            <c:numRef>
              <c:f>' COMPARACION FR'!$T$43:$T$47</c:f>
              <c:numCache>
                <c:formatCode>0%</c:formatCode>
                <c:ptCount val="5"/>
                <c:pt idx="0">
                  <c:v>0.3364485981308411</c:v>
                </c:pt>
                <c:pt idx="1">
                  <c:v>0.24299065420560748</c:v>
                </c:pt>
                <c:pt idx="2">
                  <c:v>9.3457943925233641E-2</c:v>
                </c:pt>
                <c:pt idx="3">
                  <c:v>0.15887850467289719</c:v>
                </c:pt>
                <c:pt idx="4">
                  <c:v>0.16822429906542055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74-41D7-988A-5AA2AA3FB9E5}"/>
            </c:ext>
          </c:extLst>
        </c:ser>
        <c:ser>
          <c:idx val="1"/>
          <c:order val="1"/>
          <c:tx>
            <c:strRef>
              <c:f>' COMPARACION FR'!$U$42</c:f>
              <c:strCache>
                <c:ptCount val="1"/>
                <c:pt idx="0">
                  <c:v>fr ARENA%</c:v>
                </c:pt>
              </c:strCache>
            </c:strRef>
          </c:tx>
          <c:spPr>
            <a:ln w="28575" cap="rnd">
              <a:solidFill>
                <a:srgbClr val="EA34B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092212128807722"/>
                  <c:y val="-5.65760784275906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F74-41D7-988A-5AA2AA3FB9E5}"/>
                </c:ext>
              </c:extLst>
            </c:dLbl>
            <c:dLbl>
              <c:idx val="1"/>
              <c:layout>
                <c:manualLayout>
                  <c:x val="-3.0968103984740376E-2"/>
                  <c:y val="-2.2111439967608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F74-41D7-988A-5AA2AA3FB9E5}"/>
                </c:ext>
              </c:extLst>
            </c:dLbl>
            <c:dLbl>
              <c:idx val="3"/>
              <c:layout>
                <c:manualLayout>
                  <c:x val="-5.1059425296167214E-2"/>
                  <c:y val="-4.3359771053415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F74-41D7-988A-5AA2AA3FB9E5}"/>
                </c:ext>
              </c:extLst>
            </c:dLbl>
            <c:dLbl>
              <c:idx val="4"/>
              <c:layout>
                <c:manualLayout>
                  <c:x val="-1.8960906505786666E-2"/>
                  <c:y val="-7.32775361448476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F74-41D7-988A-5AA2AA3FB9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COMPARACION FR'!$S$43:$S$47</c:f>
              <c:strCache>
                <c:ptCount val="5"/>
                <c:pt idx="0">
                  <c:v>i muy bajo</c:v>
                </c:pt>
                <c:pt idx="1">
                  <c:v>i bajo</c:v>
                </c:pt>
                <c:pt idx="2">
                  <c:v>i medio</c:v>
                </c:pt>
                <c:pt idx="3">
                  <c:v>i alto</c:v>
                </c:pt>
                <c:pt idx="4">
                  <c:v>i muy alto</c:v>
                </c:pt>
              </c:strCache>
            </c:strRef>
          </c:cat>
          <c:val>
            <c:numRef>
              <c:f>' COMPARACION FR'!$U$43:$U$47</c:f>
              <c:numCache>
                <c:formatCode>0%</c:formatCode>
                <c:ptCount val="5"/>
                <c:pt idx="0">
                  <c:v>0.17592592592592593</c:v>
                </c:pt>
                <c:pt idx="1">
                  <c:v>0.21296296296296297</c:v>
                </c:pt>
                <c:pt idx="2">
                  <c:v>0.14814814814814814</c:v>
                </c:pt>
                <c:pt idx="3">
                  <c:v>0.17592592592592593</c:v>
                </c:pt>
                <c:pt idx="4">
                  <c:v>0.28703703703703703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74-41D7-988A-5AA2AA3FB9E5}"/>
            </c:ext>
          </c:extLst>
        </c:ser>
        <c:ser>
          <c:idx val="2"/>
          <c:order val="2"/>
          <c:tx>
            <c:strRef>
              <c:f>' COMPARACION FR'!$V$42</c:f>
              <c:strCache>
                <c:ptCount val="1"/>
                <c:pt idx="0">
                  <c:v>fr HIERRO%</c:v>
                </c:pt>
              </c:strCache>
            </c:strRef>
          </c:tx>
          <c:spPr>
            <a:ln w="28575" cap="rnd">
              <a:solidFill>
                <a:srgbClr val="00FF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4265538432284329E-2"/>
                  <c:y val="-1.455130942058654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74-41D7-988A-5AA2AA3FB9E5}"/>
                </c:ext>
              </c:extLst>
            </c:dLbl>
            <c:dLbl>
              <c:idx val="1"/>
              <c:layout>
                <c:manualLayout>
                  <c:x val="-0.10402745420811071"/>
                  <c:y val="-6.26185922413305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74-41D7-988A-5AA2AA3FB9E5}"/>
                </c:ext>
              </c:extLst>
            </c:dLbl>
            <c:dLbl>
              <c:idx val="3"/>
              <c:layout>
                <c:manualLayout>
                  <c:x val="-3.6447555251493152E-2"/>
                  <c:y val="5.49137602184394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F74-41D7-988A-5AA2AA3FB9E5}"/>
                </c:ext>
              </c:extLst>
            </c:dLbl>
            <c:dLbl>
              <c:idx val="4"/>
              <c:layout>
                <c:manualLayout>
                  <c:x val="5.5615711269447919E-3"/>
                  <c:y val="-3.00795641247863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F74-41D7-988A-5AA2AA3FB9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COMPARACION FR'!$S$43:$S$47</c:f>
              <c:strCache>
                <c:ptCount val="5"/>
                <c:pt idx="0">
                  <c:v>i muy bajo</c:v>
                </c:pt>
                <c:pt idx="1">
                  <c:v>i bajo</c:v>
                </c:pt>
                <c:pt idx="2">
                  <c:v>i medio</c:v>
                </c:pt>
                <c:pt idx="3">
                  <c:v>i alto</c:v>
                </c:pt>
                <c:pt idx="4">
                  <c:v>i muy alto</c:v>
                </c:pt>
              </c:strCache>
            </c:strRef>
          </c:cat>
          <c:val>
            <c:numRef>
              <c:f>' COMPARACION FR'!$V$43:$V$47</c:f>
              <c:numCache>
                <c:formatCode>0%</c:formatCode>
                <c:ptCount val="5"/>
                <c:pt idx="0">
                  <c:v>0.17592592592592593</c:v>
                </c:pt>
                <c:pt idx="1">
                  <c:v>0.19444444444444445</c:v>
                </c:pt>
                <c:pt idx="2">
                  <c:v>0.28703703703703703</c:v>
                </c:pt>
                <c:pt idx="3">
                  <c:v>0.12962962962962962</c:v>
                </c:pt>
                <c:pt idx="4">
                  <c:v>0.21296296296296297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74-41D7-988A-5AA2AA3FB9E5}"/>
            </c:ext>
          </c:extLst>
        </c:ser>
        <c:ser>
          <c:idx val="3"/>
          <c:order val="3"/>
          <c:tx>
            <c:strRef>
              <c:f>' COMPARACION FR'!$W$42</c:f>
              <c:strCache>
                <c:ptCount val="1"/>
                <c:pt idx="0">
                  <c:v>fr LADRILLO%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447555251493152E-2"/>
                  <c:y val="4.16335532898104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F74-41D7-988A-5AA2AA3FB9E5}"/>
                </c:ext>
              </c:extLst>
            </c:dLbl>
            <c:dLbl>
              <c:idx val="1"/>
              <c:layout>
                <c:manualLayout>
                  <c:x val="1.1041022393697567E-2"/>
                  <c:y val="3.53324014111364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74-41D7-988A-5AA2AA3FB9E5}"/>
                </c:ext>
              </c:extLst>
            </c:dLbl>
            <c:dLbl>
              <c:idx val="2"/>
              <c:layout>
                <c:manualLayout>
                  <c:x val="-3.2794587740324635E-2"/>
                  <c:y val="3.6321470518358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F74-41D7-988A-5AA2AA3FB9E5}"/>
                </c:ext>
              </c:extLst>
            </c:dLbl>
            <c:dLbl>
              <c:idx val="4"/>
              <c:layout>
                <c:manualLayout>
                  <c:x val="-1.0876782673313533E-2"/>
                  <c:y val="6.55379257613427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F74-41D7-988A-5AA2AA3FB9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COMPARACION FR'!$S$43:$S$47</c:f>
              <c:strCache>
                <c:ptCount val="5"/>
                <c:pt idx="0">
                  <c:v>i muy bajo</c:v>
                </c:pt>
                <c:pt idx="1">
                  <c:v>i bajo</c:v>
                </c:pt>
                <c:pt idx="2">
                  <c:v>i medio</c:v>
                </c:pt>
                <c:pt idx="3">
                  <c:v>i alto</c:v>
                </c:pt>
                <c:pt idx="4">
                  <c:v>i muy alto</c:v>
                </c:pt>
              </c:strCache>
            </c:strRef>
          </c:cat>
          <c:val>
            <c:numRef>
              <c:f>' COMPARACION FR'!$W$43:$W$47</c:f>
              <c:numCache>
                <c:formatCode>0%</c:formatCode>
                <c:ptCount val="5"/>
                <c:pt idx="0">
                  <c:v>0.15238095238095239</c:v>
                </c:pt>
                <c:pt idx="1">
                  <c:v>0.19047619047619047</c:v>
                </c:pt>
                <c:pt idx="2">
                  <c:v>0.24761904761904763</c:v>
                </c:pt>
                <c:pt idx="3">
                  <c:v>0.26666666666666666</c:v>
                </c:pt>
                <c:pt idx="4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74-41D7-988A-5AA2AA3FB9E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7903824"/>
        <c:axId val="227899888"/>
      </c:lineChart>
      <c:lineChart>
        <c:grouping val="standard"/>
        <c:varyColors val="0"/>
        <c:ser>
          <c:idx val="4"/>
          <c:order val="4"/>
          <c:tx>
            <c:v>INF PAIS</c:v>
          </c:tx>
          <c:spPr>
            <a:ln w="47625" cap="rnd" cmpd="sng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8549717509241103E-2"/>
                  <c:y val="2.36950287519320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F74-41D7-988A-5AA2AA3FB9E5}"/>
                </c:ext>
              </c:extLst>
            </c:dLbl>
            <c:dLbl>
              <c:idx val="1"/>
              <c:layout>
                <c:manualLayout>
                  <c:x val="-2.6041851151584725E-2"/>
                  <c:y val="4.92774525119786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F74-41D7-988A-5AA2AA3FB9E5}"/>
                </c:ext>
              </c:extLst>
            </c:dLbl>
            <c:dLbl>
              <c:idx val="2"/>
              <c:layout>
                <c:manualLayout>
                  <c:x val="3.804956121099197E-2"/>
                  <c:y val="-4.5378911687908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F74-41D7-988A-5AA2AA3FB9E5}"/>
                </c:ext>
              </c:extLst>
            </c:dLbl>
            <c:dLbl>
              <c:idx val="4"/>
              <c:layout>
                <c:manualLayout>
                  <c:x val="4.4204687180059939E-2"/>
                  <c:y val="-1.42146000345474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F74-41D7-988A-5AA2AA3FB9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 COMPARACION FR'!$X$43:$X$47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F74-41D7-988A-5AA2AA3FB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483433544"/>
        <c:axId val="483431576"/>
      </c:lineChart>
      <c:catAx>
        <c:axId val="227903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sng"/>
                  <a:t>NIVELES DE INFLACION año 2016 / 2024</a:t>
                </a:r>
              </a:p>
              <a:p>
                <a:pPr>
                  <a:defRPr sz="1400" b="1" u="sng"/>
                </a:pPr>
                <a:endParaRPr lang="en-US" sz="1400" b="1" i="0" u="sng"/>
              </a:p>
            </c:rich>
          </c:tx>
          <c:layout>
            <c:manualLayout>
              <c:xMode val="edge"/>
              <c:yMode val="edge"/>
              <c:x val="0.34609528913166865"/>
              <c:y val="0.856125489756000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7899888"/>
        <c:crosses val="autoZero"/>
        <c:auto val="1"/>
        <c:lblAlgn val="ctr"/>
        <c:lblOffset val="100"/>
        <c:noMultiLvlLbl val="0"/>
      </c:catAx>
      <c:valAx>
        <c:axId val="22789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FRECUENCIA RELATIVA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27903824"/>
        <c:crosses val="autoZero"/>
        <c:crossBetween val="between"/>
      </c:valAx>
      <c:valAx>
        <c:axId val="48343157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3433544"/>
        <c:crosses val="max"/>
        <c:crossBetween val="between"/>
      </c:valAx>
      <c:catAx>
        <c:axId val="483433544"/>
        <c:scaling>
          <c:orientation val="minMax"/>
        </c:scaling>
        <c:delete val="1"/>
        <c:axPos val="b"/>
        <c:majorTickMark val="out"/>
        <c:minorTickMark val="none"/>
        <c:tickLblPos val="nextTo"/>
        <c:crossAx val="483431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6138059736373671E-2"/>
          <c:y val="0.88080982910987893"/>
          <c:w val="0.91311201048257862"/>
          <c:h val="0.103253922575766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60000"/>
            <a:lumOff val="4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4127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INF CEMENTO AÑO 2016-2024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 prod vs año'!$B$8</c:f>
              <c:strCache>
                <c:ptCount val="1"/>
                <c:pt idx="0">
                  <c:v>inf_ cemento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6350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E8A-414D-B3BC-E89D5CD4CD0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B3E1720-9E22-47AA-94CD-E2AC04378BA7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E8A-414D-B3BC-E89D5CD4CD0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6E30DD2-1FB1-44FD-B41F-5A608FB84E8B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E8A-414D-B3BC-E89D5CD4CD0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436EE50-85FC-474B-9C0F-8C0A0481B937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E8A-414D-B3BC-E89D5CD4CD0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3DA380D-6D19-4BB0-B3B4-E27E01792517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E8A-414D-B3BC-E89D5CD4CD0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1C5162C-603B-463B-A511-563DEDE2E69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E8A-414D-B3BC-E89D5CD4CD0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9720A39-F8B3-442C-B4F6-6A94ADB8A06A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E8A-414D-B3BC-E89D5CD4CD0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B69E1AB-096A-4FAF-B3F4-7B6C6D5A73B8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E8A-414D-B3BC-E89D5CD4CD0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FF68569-B1C2-4FF5-902F-F424EF180B8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E8A-414D-B3BC-E89D5CD4CD0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D56D43E-1ACD-4E00-AB3D-4D1BA968D181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E8A-414D-B3BC-E89D5CD4CD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'inf prod vs año'!$A$9:$A$17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'inf prod vs año'!$B$9:$B$17</c:f>
              <c:numCache>
                <c:formatCode>0.00</c:formatCode>
                <c:ptCount val="9"/>
                <c:pt idx="0">
                  <c:v>106.95</c:v>
                </c:pt>
                <c:pt idx="1">
                  <c:v>103.59</c:v>
                </c:pt>
                <c:pt idx="2">
                  <c:v>104.04</c:v>
                </c:pt>
                <c:pt idx="3">
                  <c:v>100.65</c:v>
                </c:pt>
                <c:pt idx="4">
                  <c:v>104.35</c:v>
                </c:pt>
                <c:pt idx="5">
                  <c:v>108.76</c:v>
                </c:pt>
                <c:pt idx="6">
                  <c:v>112.83</c:v>
                </c:pt>
                <c:pt idx="7">
                  <c:v>115.13</c:v>
                </c:pt>
                <c:pt idx="8">
                  <c:v>116.26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'inf prod vs año'!$C$9:$C$17</c15:f>
                <c15:dlblRangeCache>
                  <c:ptCount val="9"/>
                  <c:pt idx="0">
                    <c:v>medio</c:v>
                  </c:pt>
                  <c:pt idx="1">
                    <c:v>bajo</c:v>
                  </c:pt>
                  <c:pt idx="2">
                    <c:v>bajo</c:v>
                  </c:pt>
                  <c:pt idx="3">
                    <c:v>muy bajo</c:v>
                  </c:pt>
                  <c:pt idx="4">
                    <c:v>bajo</c:v>
                  </c:pt>
                  <c:pt idx="5">
                    <c:v>medio</c:v>
                  </c:pt>
                  <c:pt idx="6">
                    <c:v>alto</c:v>
                  </c:pt>
                  <c:pt idx="7">
                    <c:v>muy alto</c:v>
                  </c:pt>
                  <c:pt idx="8">
                    <c:v>muy alto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E8A-414D-B3BC-E89D5CD4CD0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540063560"/>
        <c:axId val="540062248"/>
      </c:lineChart>
      <c:catAx>
        <c:axId val="540063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AÑOS</a:t>
                </a:r>
              </a:p>
            </c:rich>
          </c:tx>
          <c:layout>
            <c:manualLayout>
              <c:xMode val="edge"/>
              <c:yMode val="edge"/>
              <c:x val="0.43424461658124935"/>
              <c:y val="0.896932030464147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0062248"/>
        <c:crosses val="autoZero"/>
        <c:auto val="1"/>
        <c:lblAlgn val="ctr"/>
        <c:lblOffset val="100"/>
        <c:noMultiLvlLbl val="0"/>
      </c:catAx>
      <c:valAx>
        <c:axId val="54006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PRECIO A CIERRE DE AÑO</a:t>
                </a:r>
              </a:p>
            </c:rich>
          </c:tx>
          <c:layout>
            <c:manualLayout>
              <c:xMode val="edge"/>
              <c:yMode val="edge"/>
              <c:x val="2.5259359494812811E-2"/>
              <c:y val="0.160705127569854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00635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4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INF ARENA AÑO 2016-2024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 prod vs año'!$B$27</c:f>
              <c:strCache>
                <c:ptCount val="1"/>
                <c:pt idx="0">
                  <c:v>inf_ arena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7829317656818785E-2"/>
                  <c:y val="5.2369942196531793E-2"/>
                </c:manualLayout>
              </c:layout>
              <c:tx>
                <c:rich>
                  <a:bodyPr/>
                  <a:lstStyle/>
                  <a:p>
                    <a:fld id="{F6E753BA-52BA-452B-8F44-BA5D0ED752B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B079-4EEA-967F-5F185AA71E6B}"/>
                </c:ext>
              </c:extLst>
            </c:dLbl>
            <c:dLbl>
              <c:idx val="1"/>
              <c:layout>
                <c:manualLayout>
                  <c:x val="-2.3315239546010461E-2"/>
                  <c:y val="2.924855491329487E-2"/>
                </c:manualLayout>
              </c:layout>
              <c:tx>
                <c:rich>
                  <a:bodyPr/>
                  <a:lstStyle/>
                  <a:p>
                    <a:fld id="{90F58BCF-D6FC-4006-B893-FC2504571ED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B079-4EEA-967F-5F185AA71E6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878AFF6-44DA-415C-B241-4E97E9AEFBC2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079-4EEA-967F-5F185AA71E6B}"/>
                </c:ext>
              </c:extLst>
            </c:dLbl>
            <c:dLbl>
              <c:idx val="3"/>
              <c:layout>
                <c:manualLayout>
                  <c:x val="-9.7792987048281085E-2"/>
                  <c:y val="1.768786127167616E-2"/>
                </c:manualLayout>
              </c:layout>
              <c:tx>
                <c:rich>
                  <a:bodyPr/>
                  <a:lstStyle/>
                  <a:p>
                    <a:fld id="{D8C93A67-3330-4F56-83E3-EEA7C553079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B079-4EEA-967F-5F185AA71E6B}"/>
                </c:ext>
              </c:extLst>
            </c:dLbl>
            <c:dLbl>
              <c:idx val="4"/>
              <c:layout>
                <c:manualLayout>
                  <c:x val="-5.237972637616483E-2"/>
                  <c:y val="5.2369942196531648E-2"/>
                </c:manualLayout>
              </c:layout>
              <c:tx>
                <c:rich>
                  <a:bodyPr/>
                  <a:lstStyle/>
                  <a:p>
                    <a:fld id="{DF793326-31CC-4FC6-9CE3-B007E276AFA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B079-4EEA-967F-5F185AA71E6B}"/>
                </c:ext>
              </c:extLst>
            </c:dLbl>
            <c:dLbl>
              <c:idx val="5"/>
              <c:layout>
                <c:manualLayout>
                  <c:x val="-1.1030916775730143E-2"/>
                  <c:y val="3.6955684007707129E-2"/>
                </c:manualLayout>
              </c:layout>
              <c:tx>
                <c:rich>
                  <a:bodyPr/>
                  <a:lstStyle/>
                  <a:p>
                    <a:fld id="{C09875DE-821B-4693-B793-8C04D81AFEB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B079-4EEA-967F-5F185AA71E6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FFC0598-2824-4588-AF41-384E60010A2E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079-4EEA-967F-5F185AA71E6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F0E64D7-49F3-4A05-AA7A-33BBCE3E01B8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079-4EEA-967F-5F185AA71E6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47AA9D8-A3A6-40D5-8435-A6CA8D3C6E12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079-4EEA-967F-5F185AA71E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'inf prod vs año'!$A$28:$A$36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'inf prod vs año'!$B$28:$B$36</c:f>
              <c:numCache>
                <c:formatCode>General</c:formatCode>
                <c:ptCount val="9"/>
                <c:pt idx="0">
                  <c:v>58</c:v>
                </c:pt>
                <c:pt idx="1">
                  <c:v>69</c:v>
                </c:pt>
                <c:pt idx="2">
                  <c:v>126</c:v>
                </c:pt>
                <c:pt idx="3">
                  <c:v>52</c:v>
                </c:pt>
                <c:pt idx="4">
                  <c:v>52</c:v>
                </c:pt>
                <c:pt idx="5">
                  <c:v>71</c:v>
                </c:pt>
                <c:pt idx="6">
                  <c:v>129</c:v>
                </c:pt>
                <c:pt idx="7">
                  <c:v>136</c:v>
                </c:pt>
                <c:pt idx="8">
                  <c:v>133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'inf prod vs año'!$C$28:$C$36</c15:f>
                <c15:dlblRangeCache>
                  <c:ptCount val="9"/>
                  <c:pt idx="0">
                    <c:v>muy bajo</c:v>
                  </c:pt>
                  <c:pt idx="1">
                    <c:v>muy bajo</c:v>
                  </c:pt>
                  <c:pt idx="2">
                    <c:v>alto</c:v>
                  </c:pt>
                  <c:pt idx="3">
                    <c:v>muy bajo</c:v>
                  </c:pt>
                  <c:pt idx="4">
                    <c:v>muy bajo</c:v>
                  </c:pt>
                  <c:pt idx="5">
                    <c:v>bajo</c:v>
                  </c:pt>
                  <c:pt idx="6">
                    <c:v>alto</c:v>
                  </c:pt>
                  <c:pt idx="7">
                    <c:v> muy alto</c:v>
                  </c:pt>
                  <c:pt idx="8">
                    <c:v> muy alto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079-4EEA-967F-5F185AA71E6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13303408"/>
        <c:axId val="513300784"/>
      </c:lineChart>
      <c:catAx>
        <c:axId val="51330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AÑOS</a:t>
                </a:r>
              </a:p>
            </c:rich>
          </c:tx>
          <c:layout>
            <c:manualLayout>
              <c:xMode val="edge"/>
              <c:yMode val="edge"/>
              <c:x val="0.4325206147596673"/>
              <c:y val="0.899017189325322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3300784"/>
        <c:crosses val="autoZero"/>
        <c:auto val="1"/>
        <c:lblAlgn val="ctr"/>
        <c:lblOffset val="100"/>
        <c:noMultiLvlLbl val="0"/>
      </c:catAx>
      <c:valAx>
        <c:axId val="51330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PRECIOA CIERRE DE 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33034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4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49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INF HIERO AÑO 2016-2024</a:t>
            </a:r>
          </a:p>
        </c:rich>
      </c:tx>
      <c:layout>
        <c:manualLayout>
          <c:xMode val="edge"/>
          <c:yMode val="edge"/>
          <c:x val="0.2981178915135608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 prod vs año'!$B$46</c:f>
              <c:strCache>
                <c:ptCount val="1"/>
                <c:pt idx="0">
                  <c:v>inf_ hierro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BE4755C-5152-4998-91FC-5E7BB17546A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34E-445D-B225-1FC3F4C5393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B3F4231-0C96-4935-B223-03FEE07D90FC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34E-445D-B225-1FC3F4C5393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F8B0DCE-D672-4C35-B115-F788D4982395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34E-445D-B225-1FC3F4C5393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0FB1971-DED7-4FE2-B513-72E67F6B3A0C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34E-445D-B225-1FC3F4C5393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1FF468B-A0E8-49C8-8E74-30C5F4921B47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34E-445D-B225-1FC3F4C53936}"/>
                </c:ext>
              </c:extLst>
            </c:dLbl>
            <c:dLbl>
              <c:idx val="5"/>
              <c:layout>
                <c:manualLayout>
                  <c:x val="-5.2237390163186258E-2"/>
                  <c:y val="6.0957966764418309E-2"/>
                </c:manualLayout>
              </c:layout>
              <c:tx>
                <c:rich>
                  <a:bodyPr/>
                  <a:lstStyle/>
                  <a:p>
                    <a:fld id="{B6965A98-7624-405F-8CD3-6AD909BF1ED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34E-445D-B225-1FC3F4C5393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0CEFDB6-20E0-49E9-9A1E-883844001029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34E-445D-B225-1FC3F4C5393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D878B0A-A989-44B3-85D5-2B820E12388E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34E-445D-B225-1FC3F4C53936}"/>
                </c:ext>
              </c:extLst>
            </c:dLbl>
            <c:dLbl>
              <c:idx val="8"/>
              <c:layout>
                <c:manualLayout>
                  <c:x val="-2.7305289284491611E-2"/>
                  <c:y val="6.4868035190615833E-2"/>
                </c:manualLayout>
              </c:layout>
              <c:tx>
                <c:rich>
                  <a:bodyPr/>
                  <a:lstStyle/>
                  <a:p>
                    <a:fld id="{7CE8BE35-72C5-429E-ADD7-8AF3E2A6425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34E-445D-B225-1FC3F4C539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'inf prod vs año'!$A$47:$A$55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'inf prod vs año'!$B$47:$B$55</c:f>
              <c:numCache>
                <c:formatCode>General</c:formatCode>
                <c:ptCount val="9"/>
                <c:pt idx="0">
                  <c:v>226</c:v>
                </c:pt>
                <c:pt idx="1">
                  <c:v>291</c:v>
                </c:pt>
                <c:pt idx="2">
                  <c:v>237</c:v>
                </c:pt>
                <c:pt idx="3">
                  <c:v>195</c:v>
                </c:pt>
                <c:pt idx="4">
                  <c:v>272</c:v>
                </c:pt>
                <c:pt idx="5">
                  <c:v>172</c:v>
                </c:pt>
                <c:pt idx="6">
                  <c:v>251</c:v>
                </c:pt>
                <c:pt idx="7">
                  <c:v>298</c:v>
                </c:pt>
                <c:pt idx="8">
                  <c:v>186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'inf prod vs año'!$C$47:$C$55</c15:f>
                <c15:dlblRangeCache>
                  <c:ptCount val="9"/>
                  <c:pt idx="0">
                    <c:v>medio</c:v>
                  </c:pt>
                  <c:pt idx="1">
                    <c:v>muy alto</c:v>
                  </c:pt>
                  <c:pt idx="2">
                    <c:v>medio</c:v>
                  </c:pt>
                  <c:pt idx="3">
                    <c:v>bajo</c:v>
                  </c:pt>
                  <c:pt idx="4">
                    <c:v>muy alto</c:v>
                  </c:pt>
                  <c:pt idx="5">
                    <c:v>muy bajo</c:v>
                  </c:pt>
                  <c:pt idx="6">
                    <c:v>alto</c:v>
                  </c:pt>
                  <c:pt idx="7">
                    <c:v>muy alto</c:v>
                  </c:pt>
                  <c:pt idx="8">
                    <c:v>bajo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34E-445D-B225-1FC3F4C539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0324512"/>
        <c:axId val="420327792"/>
      </c:lineChart>
      <c:catAx>
        <c:axId val="420324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AÑOS</a:t>
                </a:r>
              </a:p>
            </c:rich>
          </c:tx>
          <c:layout>
            <c:manualLayout>
              <c:xMode val="edge"/>
              <c:yMode val="edge"/>
              <c:x val="0.42382260641332875"/>
              <c:y val="0.905356639804188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327792"/>
        <c:crosses val="autoZero"/>
        <c:auto val="1"/>
        <c:lblAlgn val="ctr"/>
        <c:lblOffset val="100"/>
        <c:noMultiLvlLbl val="0"/>
      </c:catAx>
      <c:valAx>
        <c:axId val="42032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PRECIO A CIERRE DE AÑO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3245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4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81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INF LADRILLO AÑO 2016-2024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 prod vs año'!$B$65</c:f>
              <c:strCache>
                <c:ptCount val="1"/>
                <c:pt idx="0">
                  <c:v>inf_ ladrillo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D9BB6E65-0141-4112-AF47-217744DC569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A0-4661-8E20-CCB2403DC34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ACB8396-AE6B-4D00-B766-13E2596DC6F3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A0-4661-8E20-CCB2403DC34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E5DAE87-841F-45AF-B9F1-80AFF152DB1F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A0-4661-8E20-CCB2403DC34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4D5A64C-FCD7-4300-BA2C-4E773949C575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A0-4661-8E20-CCB2403DC34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F78BA93-9E30-4A26-A27A-98CE4721B045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A0-4661-8E20-CCB2403DC34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65AF8AE-C62E-480E-B8F6-864402EABAC2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A0-4661-8E20-CCB2403DC34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83F85B5-A5DE-43F6-999C-812619E05E53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A0-4661-8E20-CCB2403DC34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2121BD1-A1BE-4D6E-9A1A-AC586CE7CD7B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A0-4661-8E20-CCB2403DC34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9F4D347-FF35-43EA-8720-97DD52EF284A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A0-4661-8E20-CCB2403DC3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'inf prod vs año'!$A$66:$A$74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'inf prod vs año'!$B$66:$B$74</c:f>
              <c:numCache>
                <c:formatCode>General</c:formatCode>
                <c:ptCount val="9"/>
                <c:pt idx="0">
                  <c:v>80</c:v>
                </c:pt>
                <c:pt idx="1">
                  <c:v>23</c:v>
                </c:pt>
                <c:pt idx="2">
                  <c:v>22</c:v>
                </c:pt>
                <c:pt idx="3">
                  <c:v>64</c:v>
                </c:pt>
                <c:pt idx="4">
                  <c:v>54</c:v>
                </c:pt>
                <c:pt idx="5">
                  <c:v>40</c:v>
                </c:pt>
                <c:pt idx="6">
                  <c:v>36</c:v>
                </c:pt>
                <c:pt idx="7">
                  <c:v>41</c:v>
                </c:pt>
                <c:pt idx="8">
                  <c:v>58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'inf prod vs año'!$C$66:$C$74</c15:f>
                <c15:dlblRangeCache>
                  <c:ptCount val="9"/>
                  <c:pt idx="0">
                    <c:v>muy alto</c:v>
                  </c:pt>
                  <c:pt idx="1">
                    <c:v>muy bajo</c:v>
                  </c:pt>
                  <c:pt idx="2">
                    <c:v>muy bajo</c:v>
                  </c:pt>
                  <c:pt idx="3">
                    <c:v>alto</c:v>
                  </c:pt>
                  <c:pt idx="4">
                    <c:v>alto</c:v>
                  </c:pt>
                  <c:pt idx="5">
                    <c:v>bajo</c:v>
                  </c:pt>
                  <c:pt idx="6">
                    <c:v>bajo</c:v>
                  </c:pt>
                  <c:pt idx="7">
                    <c:v>bajo</c:v>
                  </c:pt>
                  <c:pt idx="8">
                    <c:v>alto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FA0-4661-8E20-CCB2403DC34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12496248"/>
        <c:axId val="512491656"/>
      </c:lineChart>
      <c:catAx>
        <c:axId val="512496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AÑOS</a:t>
                </a:r>
              </a:p>
            </c:rich>
          </c:tx>
          <c:layout>
            <c:manualLayout>
              <c:xMode val="edge"/>
              <c:yMode val="edge"/>
              <c:x val="0.4255240452666994"/>
              <c:y val="0.896320319010568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2491656"/>
        <c:crosses val="autoZero"/>
        <c:auto val="1"/>
        <c:lblAlgn val="ctr"/>
        <c:lblOffset val="100"/>
        <c:noMultiLvlLbl val="0"/>
      </c:catAx>
      <c:valAx>
        <c:axId val="51249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PRECIO A CIERRE DE 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2496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4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49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TENDENCIA FR CEMENTO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COMPARACION FR'!$AC$56</c:f>
              <c:strCache>
                <c:ptCount val="1"/>
                <c:pt idx="0">
                  <c:v>FR INF PAIS</c:v>
                </c:pt>
              </c:strCache>
            </c:strRef>
          </c:tx>
          <c:spPr>
            <a:ln w="28575" cap="rnd">
              <a:solidFill>
                <a:srgbClr val="FF66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 COMPARACION FR'!$AB$57:$AB$61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 COMPARACION FR'!$AC$57:$AC$61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3-45AF-9B16-683418ABD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759888"/>
        <c:axId val="482759232"/>
      </c:scatterChart>
      <c:scatterChart>
        <c:scatterStyle val="lineMarker"/>
        <c:varyColors val="0"/>
        <c:ser>
          <c:idx val="1"/>
          <c:order val="1"/>
          <c:tx>
            <c:strRef>
              <c:f>' COMPARACION FR'!$AD$56</c:f>
              <c:strCache>
                <c:ptCount val="1"/>
                <c:pt idx="0">
                  <c:v>FR CEMENTO</c:v>
                </c:pt>
              </c:strCache>
            </c:strRef>
          </c:tx>
          <c:spPr>
            <a:ln w="28575" cap="rnd">
              <a:solidFill>
                <a:srgbClr val="00FF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forward val="6"/>
            <c:dispRSqr val="1"/>
            <c:dispEq val="1"/>
            <c:trendlineLbl>
              <c:layout>
                <c:manualLayout>
                  <c:x val="0.10289938710241338"/>
                  <c:y val="-0.63174946464912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 COMPARACION FR'!$AB$57:$AB$61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 COMPARACION FR'!$AD$57:$AD$61</c:f>
              <c:numCache>
                <c:formatCode>0%</c:formatCode>
                <c:ptCount val="5"/>
                <c:pt idx="0">
                  <c:v>0.3364485981308411</c:v>
                </c:pt>
                <c:pt idx="1">
                  <c:v>0.24299065420560748</c:v>
                </c:pt>
                <c:pt idx="2">
                  <c:v>9.3457943925233641E-2</c:v>
                </c:pt>
                <c:pt idx="3">
                  <c:v>0.15887850467289719</c:v>
                </c:pt>
                <c:pt idx="4">
                  <c:v>0.16822429906542055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03-45AF-9B16-683418ABD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444208"/>
        <c:axId val="414440272"/>
      </c:scatterChart>
      <c:valAx>
        <c:axId val="48275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2759232"/>
        <c:crosses val="autoZero"/>
        <c:crossBetween val="midCat"/>
      </c:valAx>
      <c:valAx>
        <c:axId val="48275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u="sng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2759888"/>
        <c:crosses val="autoZero"/>
        <c:crossBetween val="midCat"/>
      </c:valAx>
      <c:valAx>
        <c:axId val="41444027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4444208"/>
        <c:crosses val="max"/>
        <c:crossBetween val="midCat"/>
      </c:valAx>
      <c:valAx>
        <c:axId val="414444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444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2">
            <a:lumMod val="0"/>
            <a:lumOff val="100000"/>
          </a:schemeClr>
        </a:gs>
        <a:gs pos="35000">
          <a:schemeClr val="accent2">
            <a:lumMod val="0"/>
            <a:lumOff val="100000"/>
          </a:schemeClr>
        </a:gs>
        <a:gs pos="100000">
          <a:schemeClr val="accent2">
            <a:lumMod val="100000"/>
          </a:schemeClr>
        </a:gs>
      </a:gsLst>
      <a:path path="circle">
        <a:fillToRect l="50000" t="-80000" r="50000" b="180000"/>
      </a:path>
      <a:tileRect/>
    </a:gradFill>
    <a:ln w="349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TENDENCIA</a:t>
            </a:r>
            <a:r>
              <a:rPr lang="en-US" b="1" u="sng" baseline="0"/>
              <a:t> FR ARENA</a:t>
            </a:r>
            <a:r>
              <a:rPr lang="en-US" b="1" u="sng"/>
              <a:t>    </a:t>
            </a:r>
          </a:p>
          <a:p>
            <a:pPr algn="ctr">
              <a:defRPr b="1" u="sng"/>
            </a:pPr>
            <a:r>
              <a:rPr lang="en-US" b="1" u="sng"/>
              <a:t>                                             </a:t>
            </a:r>
          </a:p>
        </c:rich>
      </c:tx>
      <c:layout>
        <c:manualLayout>
          <c:xMode val="edge"/>
          <c:yMode val="edge"/>
          <c:x val="0.35870072554545973"/>
          <c:y val="4.14137804465100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COMPARACION FR'!$AC$63</c:f>
              <c:strCache>
                <c:ptCount val="1"/>
                <c:pt idx="0">
                  <c:v>FR INF PAIS</c:v>
                </c:pt>
              </c:strCache>
            </c:strRef>
          </c:tx>
          <c:spPr>
            <a:ln w="25400" cap="rnd">
              <a:solidFill>
                <a:srgbClr val="FF66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 COMPARACION FR'!$AB$64:$AB$68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 COMPARACION FR'!$AC$64:$AC$68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2-4AEC-A1A3-712E0E993C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38419440"/>
        <c:axId val="538423376"/>
      </c:scatterChart>
      <c:scatterChart>
        <c:scatterStyle val="lineMarker"/>
        <c:varyColors val="0"/>
        <c:ser>
          <c:idx val="1"/>
          <c:order val="1"/>
          <c:tx>
            <c:strRef>
              <c:f>' COMPARACION FR'!$AD$63</c:f>
              <c:strCache>
                <c:ptCount val="1"/>
                <c:pt idx="0">
                  <c:v>FR ARENA</c:v>
                </c:pt>
              </c:strCache>
            </c:strRef>
          </c:tx>
          <c:spPr>
            <a:ln w="25400" cap="rnd">
              <a:solidFill>
                <a:srgbClr val="00FF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forward val="6"/>
            <c:dispRSqr val="1"/>
            <c:dispEq val="1"/>
            <c:trendlineLbl>
              <c:layout>
                <c:manualLayout>
                  <c:x val="0.11067021222766289"/>
                  <c:y val="-0.233871406553510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 COMPARACION FR'!$AB$64:$AB$68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 COMPARACION FR'!$AD$64:$AD$68</c:f>
              <c:numCache>
                <c:formatCode>0%</c:formatCode>
                <c:ptCount val="5"/>
                <c:pt idx="0">
                  <c:v>0.17592592592592593</c:v>
                </c:pt>
                <c:pt idx="1">
                  <c:v>0.21296296296296297</c:v>
                </c:pt>
                <c:pt idx="2">
                  <c:v>0.14814814814814814</c:v>
                </c:pt>
                <c:pt idx="3">
                  <c:v>0.17592592592592593</c:v>
                </c:pt>
                <c:pt idx="4">
                  <c:v>0.28703703703703703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62-4AEC-A1A3-712E0E993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570568"/>
        <c:axId val="475565976"/>
      </c:scatterChart>
      <c:valAx>
        <c:axId val="53841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8423376"/>
        <c:crosses val="autoZero"/>
        <c:crossBetween val="midCat"/>
      </c:valAx>
      <c:valAx>
        <c:axId val="53842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u="sng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8419440"/>
        <c:crosses val="autoZero"/>
        <c:crossBetween val="midCat"/>
      </c:valAx>
      <c:valAx>
        <c:axId val="47556597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5570568"/>
        <c:crosses val="max"/>
        <c:crossBetween val="midCat"/>
      </c:valAx>
      <c:valAx>
        <c:axId val="475570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5565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0"/>
            <a:lumOff val="100000"/>
          </a:schemeClr>
        </a:gs>
        <a:gs pos="35000">
          <a:schemeClr val="accent2">
            <a:lumMod val="0"/>
            <a:lumOff val="100000"/>
          </a:schemeClr>
        </a:gs>
        <a:gs pos="100000">
          <a:schemeClr val="accent2">
            <a:lumMod val="100000"/>
          </a:schemeClr>
        </a:gs>
      </a:gsLst>
      <a:path path="circle">
        <a:fillToRect l="50000" t="-80000" r="50000" b="180000"/>
      </a:path>
    </a:gradFill>
    <a:ln w="381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TENDENCIA FR HIERRO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 COMPARACION FR'!$AD$70</c:f>
              <c:strCache>
                <c:ptCount val="1"/>
                <c:pt idx="0">
                  <c:v>FR HIERRO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1828248031496066E-2"/>
                  <c:y val="-9.31366971074168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C5-4525-935B-1EF6F80D4B9C}"/>
                </c:ext>
              </c:extLst>
            </c:dLbl>
            <c:dLbl>
              <c:idx val="3"/>
              <c:layout>
                <c:manualLayout>
                  <c:x val="-3.8078248031496065E-2"/>
                  <c:y val="5.59315772708050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7C5-4525-935B-1EF6F80D4B9C}"/>
                </c:ext>
              </c:extLst>
            </c:dLbl>
            <c:dLbl>
              <c:idx val="4"/>
              <c:layout>
                <c:manualLayout>
                  <c:x val="-3.3911581364829399E-2"/>
                  <c:y val="7.2494718868385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C5-4525-935B-1EF6F80D4B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17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forward val="6"/>
            <c:dispRSqr val="1"/>
            <c:dispEq val="1"/>
            <c:trendlineLbl>
              <c:layout>
                <c:manualLayout>
                  <c:x val="8.1970144356955377E-2"/>
                  <c:y val="-0.427899307836746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 COMPARACION FR'!$AB$71:$AB$75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 COMPARACION FR'!$AD$71:$AD$75</c:f>
              <c:numCache>
                <c:formatCode>0%</c:formatCode>
                <c:ptCount val="5"/>
                <c:pt idx="0">
                  <c:v>0.17592592592592593</c:v>
                </c:pt>
                <c:pt idx="1">
                  <c:v>0.19444444444444445</c:v>
                </c:pt>
                <c:pt idx="2">
                  <c:v>0.28703703703703703</c:v>
                </c:pt>
                <c:pt idx="3">
                  <c:v>0.12962962962962962</c:v>
                </c:pt>
                <c:pt idx="4">
                  <c:v>0.21296296296296297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C5-4525-935B-1EF6F80D4B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78144640"/>
        <c:axId val="478145952"/>
      </c:scatterChart>
      <c:scatterChart>
        <c:scatterStyle val="lineMarker"/>
        <c:varyColors val="0"/>
        <c:ser>
          <c:idx val="0"/>
          <c:order val="0"/>
          <c:tx>
            <c:strRef>
              <c:f>' COMPARACION FR'!$AC$70</c:f>
              <c:strCache>
                <c:ptCount val="1"/>
                <c:pt idx="0">
                  <c:v>FR INF PAIS</c:v>
                </c:pt>
              </c:strCache>
            </c:strRef>
          </c:tx>
          <c:spPr>
            <a:ln w="19050" cap="rnd">
              <a:solidFill>
                <a:srgbClr val="FF66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6411581364829396E-2"/>
                  <c:y val="8.0776289667175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C5-4525-935B-1EF6F80D4B9C}"/>
                </c:ext>
              </c:extLst>
            </c:dLbl>
            <c:dLbl>
              <c:idx val="4"/>
              <c:layout>
                <c:manualLayout>
                  <c:x val="-1.5161581364829396E-2"/>
                  <c:y val="-2.68841307170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C5-4525-935B-1EF6F80D4B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rgbClr val="FF66CC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 COMPARACION FR'!$AB$71:$AB$75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 COMPARACION FR'!$AC$71:$AC$75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C5-4525-935B-1EF6F80D4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423704"/>
        <c:axId val="538420752"/>
      </c:scatterChart>
      <c:valAx>
        <c:axId val="47814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8145952"/>
        <c:crosses val="autoZero"/>
        <c:crossBetween val="midCat"/>
      </c:valAx>
      <c:valAx>
        <c:axId val="47814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sng"/>
                  <a:t>PORCENTAJE</a:t>
                </a:r>
              </a:p>
            </c:rich>
          </c:tx>
          <c:overlay val="0"/>
          <c:spPr>
            <a:noFill/>
            <a:ln w="38100" cmpd="sng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8144640"/>
        <c:crosses val="autoZero"/>
        <c:crossBetween val="midCat"/>
      </c:valAx>
      <c:valAx>
        <c:axId val="5384207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8423704"/>
        <c:crosses val="max"/>
        <c:crossBetween val="midCat"/>
      </c:valAx>
      <c:valAx>
        <c:axId val="538423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8420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0"/>
            <a:lumOff val="100000"/>
          </a:schemeClr>
        </a:gs>
        <a:gs pos="35000">
          <a:schemeClr val="accent2">
            <a:lumMod val="0"/>
            <a:lumOff val="100000"/>
          </a:schemeClr>
        </a:gs>
        <a:gs pos="100000">
          <a:schemeClr val="accent2">
            <a:lumMod val="100000"/>
          </a:schemeClr>
        </a:gs>
      </a:gsLst>
      <a:path path="circle">
        <a:fillToRect l="50000" t="-80000" r="50000" b="180000"/>
      </a:path>
    </a:gradFill>
    <a:ln w="444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TENDENCIA FR LADRILLO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COMPARACION FR'!$AC$77</c:f>
              <c:strCache>
                <c:ptCount val="1"/>
                <c:pt idx="0">
                  <c:v>FR INF PAIS</c:v>
                </c:pt>
              </c:strCache>
            </c:strRef>
          </c:tx>
          <c:spPr>
            <a:ln w="19050" cap="rnd">
              <a:solidFill>
                <a:srgbClr val="FF66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8078248031496081E-2"/>
                  <c:y val="-6.238326792223072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00-4409-933C-0848BE5AC5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 COMPARACION FR'!$AB$78:$AB$82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 COMPARACION FR'!$AC$78:$AC$82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0-4409-933C-0848BE5AC5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88677296"/>
        <c:axId val="488676312"/>
      </c:scatterChart>
      <c:scatterChart>
        <c:scatterStyle val="lineMarker"/>
        <c:varyColors val="0"/>
        <c:ser>
          <c:idx val="1"/>
          <c:order val="1"/>
          <c:tx>
            <c:strRef>
              <c:f>' COMPARACION FR'!$AD$77</c:f>
              <c:strCache>
                <c:ptCount val="1"/>
                <c:pt idx="0">
                  <c:v>FR LADRILLO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7244914698162729E-2"/>
                  <c:y val="8.15359678786232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00-4409-933C-0848BE5AC506}"/>
                </c:ext>
              </c:extLst>
            </c:dLbl>
            <c:dLbl>
              <c:idx val="4"/>
              <c:layout>
                <c:manualLayout>
                  <c:x val="-5.4468832020997372E-2"/>
                  <c:y val="4.97282353812355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00-4409-933C-0848BE5AC5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17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forward val="6"/>
            <c:dispRSqr val="1"/>
            <c:dispEq val="1"/>
            <c:trendlineLbl>
              <c:layout>
                <c:manualLayout>
                  <c:x val="0.11632663270032413"/>
                  <c:y val="-0.174355885765063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 COMPARACION FR'!$AB$78:$AB$82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 COMPARACION FR'!$AD$78:$AD$82</c:f>
              <c:numCache>
                <c:formatCode>0%</c:formatCode>
                <c:ptCount val="5"/>
                <c:pt idx="0">
                  <c:v>0.15238095238095239</c:v>
                </c:pt>
                <c:pt idx="1">
                  <c:v>0.19047619047619047</c:v>
                </c:pt>
                <c:pt idx="2">
                  <c:v>0.24761904761904763</c:v>
                </c:pt>
                <c:pt idx="3">
                  <c:v>0.26666666666666666</c:v>
                </c:pt>
                <c:pt idx="4">
                  <c:v>0.14285714285714285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00-4409-933C-0848BE5AC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447016"/>
        <c:axId val="477452592"/>
      </c:scatterChart>
      <c:valAx>
        <c:axId val="48867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676312"/>
        <c:crosses val="autoZero"/>
        <c:crossBetween val="midCat"/>
      </c:valAx>
      <c:valAx>
        <c:axId val="48867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677296"/>
        <c:crosses val="autoZero"/>
        <c:crossBetween val="midCat"/>
      </c:valAx>
      <c:valAx>
        <c:axId val="47745259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447016"/>
        <c:crosses val="max"/>
        <c:crossBetween val="midCat"/>
      </c:valAx>
      <c:valAx>
        <c:axId val="477447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745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1000">
          <a:schemeClr val="accent2">
            <a:lumMod val="0"/>
            <a:lumOff val="100000"/>
          </a:schemeClr>
        </a:gs>
        <a:gs pos="35000">
          <a:schemeClr val="accent2">
            <a:lumMod val="0"/>
            <a:lumOff val="100000"/>
          </a:schemeClr>
        </a:gs>
        <a:gs pos="100000">
          <a:schemeClr val="accent2">
            <a:lumMod val="100000"/>
          </a:schemeClr>
        </a:gs>
      </a:gsLst>
      <a:path path="circle">
        <a:fillToRect l="50000" t="-80000" r="50000" b="180000"/>
      </a:path>
    </a:gradFill>
    <a:ln w="381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6945138581393707"/>
          <c:y val="0.18947637292464878"/>
          <c:w val="0.58944740709367316"/>
          <c:h val="0.583686809263784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'dispercion lineal'!$C$1</c:f>
              <c:strCache>
                <c:ptCount val="1"/>
                <c:pt idx="0">
                  <c:v>FR CEMENTO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4.3093613298337705E-2"/>
                  <c:y val="5.2277869655007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63-4317-AD33-60F75342D5E2}"/>
                </c:ext>
              </c:extLst>
            </c:dLbl>
            <c:dLbl>
              <c:idx val="4"/>
              <c:layout>
                <c:manualLayout>
                  <c:x val="-0.12148188077957255"/>
                  <c:y val="4.80980682012449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63-4317-AD33-60F75342D5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188110696689231"/>
                  <c:y val="-0.382127547536181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'dispercion lineal'!$B$2:$B$6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xVal>
          <c:yVal>
            <c:numRef>
              <c:f>'dispercion lineal'!$C$2:$C$6</c:f>
              <c:numCache>
                <c:formatCode>0%</c:formatCode>
                <c:ptCount val="5"/>
                <c:pt idx="0">
                  <c:v>0.3364485981308411</c:v>
                </c:pt>
                <c:pt idx="1">
                  <c:v>0.24299065420560748</c:v>
                </c:pt>
                <c:pt idx="2">
                  <c:v>9.3457943925233641E-2</c:v>
                </c:pt>
                <c:pt idx="3">
                  <c:v>0.15887850467289719</c:v>
                </c:pt>
                <c:pt idx="4">
                  <c:v>0.16822429906542055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3-4317-AD33-60F75342D5E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88147296"/>
        <c:axId val="488153200"/>
      </c:scatterChart>
      <c:valAx>
        <c:axId val="48814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 INF PAIS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153200"/>
        <c:crosses val="autoZero"/>
        <c:crossBetween val="midCat"/>
      </c:valAx>
      <c:valAx>
        <c:axId val="4881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 CEMENTO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147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573667289143875"/>
          <c:y val="0.19690630625194838"/>
          <c:w val="0.23470342490807233"/>
          <c:h val="0.724143964763025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  <a:tileRect/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6862680486107121"/>
          <c:y val="0.21501449275362319"/>
          <c:w val="0.60766557464988413"/>
          <c:h val="0.527575031381946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'dispercion lineal'!$C$15</c:f>
              <c:strCache>
                <c:ptCount val="1"/>
                <c:pt idx="0">
                  <c:v>FR ARENA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674029797370222E-2"/>
                  <c:y val="6.67100308113659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7E-43CE-87D1-DF232DA2496F}"/>
                </c:ext>
              </c:extLst>
            </c:dLbl>
            <c:dLbl>
              <c:idx val="3"/>
              <c:layout>
                <c:manualLayout>
                  <c:x val="-5.0162269862252737E-2"/>
                  <c:y val="7.2507132260641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7E-43CE-87D1-DF232DA249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9288860790211441"/>
                  <c:y val="-0.275924683327627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'dispercion lineal'!$B$16:$B$20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xVal>
          <c:yVal>
            <c:numRef>
              <c:f>'dispercion lineal'!$C$16:$C$20</c:f>
              <c:numCache>
                <c:formatCode>0%</c:formatCode>
                <c:ptCount val="5"/>
                <c:pt idx="0">
                  <c:v>0.17592592592592593</c:v>
                </c:pt>
                <c:pt idx="1">
                  <c:v>0.21296296296296297</c:v>
                </c:pt>
                <c:pt idx="2">
                  <c:v>0.14814814814814814</c:v>
                </c:pt>
                <c:pt idx="3">
                  <c:v>0.17592592592592593</c:v>
                </c:pt>
                <c:pt idx="4">
                  <c:v>0.28703703703703703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7E-43CE-87D1-DF232DA249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84166312"/>
        <c:axId val="426149816"/>
      </c:scatterChart>
      <c:valAx>
        <c:axId val="484166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 INF PAIS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6149816"/>
        <c:crosses val="autoZero"/>
        <c:crossBetween val="midCat"/>
      </c:valAx>
      <c:valAx>
        <c:axId val="42614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 ARENA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4166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95018870816333"/>
          <c:y val="0.38504256533150744"/>
          <c:w val="0.22058509109718952"/>
          <c:h val="0.288407166495492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6903808975097626"/>
          <c:y val="0.17443478260869569"/>
          <c:w val="0.56283848665258307"/>
          <c:h val="0.614531553121077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'dispercion lineal'!$C$28</c:f>
              <c:strCache>
                <c:ptCount val="1"/>
                <c:pt idx="0">
                  <c:v>FR HIERRO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5729221347331581E-2"/>
                  <c:y val="6.25346310877806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F3-46EF-8AE4-AB8FC6078049}"/>
                </c:ext>
              </c:extLst>
            </c:dLbl>
            <c:dLbl>
              <c:idx val="1"/>
              <c:layout>
                <c:manualLayout>
                  <c:x val="-9.0173665791776034E-2"/>
                  <c:y val="2.54975940507436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F3-46EF-8AE4-AB8FC6078049}"/>
                </c:ext>
              </c:extLst>
            </c:dLbl>
            <c:dLbl>
              <c:idx val="3"/>
              <c:layout>
                <c:manualLayout>
                  <c:x val="-2.0729221347331583E-2"/>
                  <c:y val="5.32753718285213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F3-46EF-8AE4-AB8FC60780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661001749781277"/>
                  <c:y val="-0.415170603674540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'dispercion lineal'!$B$29:$B$33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xVal>
          <c:yVal>
            <c:numRef>
              <c:f>'dispercion lineal'!$C$29:$C$33</c:f>
              <c:numCache>
                <c:formatCode>0%</c:formatCode>
                <c:ptCount val="5"/>
                <c:pt idx="0">
                  <c:v>0.17592592592592593</c:v>
                </c:pt>
                <c:pt idx="1">
                  <c:v>0.19444444444444445</c:v>
                </c:pt>
                <c:pt idx="2">
                  <c:v>0.28703703703703703</c:v>
                </c:pt>
                <c:pt idx="3">
                  <c:v>0.12962962962962962</c:v>
                </c:pt>
                <c:pt idx="4">
                  <c:v>0.21296296296296297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F3-46EF-8AE4-AB8FC60780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90021680"/>
        <c:axId val="490026600"/>
      </c:scatterChart>
      <c:valAx>
        <c:axId val="49002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 INF PAIS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0026600"/>
        <c:crosses val="autoZero"/>
        <c:crossBetween val="midCat"/>
      </c:valAx>
      <c:valAx>
        <c:axId val="49002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 HIERRO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0021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151078676141091"/>
          <c:y val="0.27815816501198221"/>
          <c:w val="0.23897701811663782"/>
          <c:h val="0.444204952641789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4438670166229223"/>
          <c:y val="0.13004629629629633"/>
          <c:w val="0.66916703208709083"/>
          <c:h val="0.669505249343832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'dispercion lineal'!$C$41</c:f>
              <c:strCache>
                <c:ptCount val="1"/>
                <c:pt idx="0">
                  <c:v>FR LADRILLO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9919353301176396E-2"/>
                  <c:y val="6.9486001749781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78-48B4-9F14-D1681A00D6CF}"/>
                </c:ext>
              </c:extLst>
            </c:dLbl>
            <c:dLbl>
              <c:idx val="1"/>
              <c:layout>
                <c:manualLayout>
                  <c:x val="-8.7395888013998307E-2"/>
                  <c:y val="3.93864829396325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78-48B4-9F14-D1681A00D6CF}"/>
                </c:ext>
              </c:extLst>
            </c:dLbl>
            <c:dLbl>
              <c:idx val="3"/>
              <c:layout>
                <c:manualLayout>
                  <c:x val="-0.12417278348680991"/>
                  <c:y val="-2.49584426946631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78-48B4-9F14-D1681A00D6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1288351667905917"/>
                  <c:y val="-0.307413604549431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'dispercion lineal'!$B$42:$B$46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xVal>
          <c:yVal>
            <c:numRef>
              <c:f>'dispercion lineal'!$C$42:$C$46</c:f>
              <c:numCache>
                <c:formatCode>0%</c:formatCode>
                <c:ptCount val="5"/>
                <c:pt idx="0">
                  <c:v>0.15238095238095239</c:v>
                </c:pt>
                <c:pt idx="1">
                  <c:v>0.19047619047619047</c:v>
                </c:pt>
                <c:pt idx="2">
                  <c:v>0.24761904761904763</c:v>
                </c:pt>
                <c:pt idx="3">
                  <c:v>0.26666666666666666</c:v>
                </c:pt>
                <c:pt idx="4">
                  <c:v>0.14285714285714285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78-48B4-9F14-D1681A00D6C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90005608"/>
        <c:axId val="490006264"/>
      </c:scatterChart>
      <c:valAx>
        <c:axId val="490005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 INF PAIS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0006264"/>
        <c:crosses val="autoZero"/>
        <c:crossBetween val="midCat"/>
      </c:valAx>
      <c:valAx>
        <c:axId val="49000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 LADRILLO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0005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824706233754686"/>
          <c:y val="0.2554159375911344"/>
          <c:w val="0.15238247761402707"/>
          <c:h val="0.38310294546515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3536253280839894"/>
          <c:y val="0.19702523240371847"/>
          <c:w val="0.68671280347769026"/>
          <c:h val="0.56710062636592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'dispercion polinomica'!$C$1</c:f>
              <c:strCache>
                <c:ptCount val="1"/>
                <c:pt idx="0">
                  <c:v>FR CEMENTO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1840332458442692E-2"/>
                  <c:y val="7.70649684725663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BB-485E-9AF4-4E9EC6B8462B}"/>
                </c:ext>
              </c:extLst>
            </c:dLbl>
            <c:dLbl>
              <c:idx val="2"/>
              <c:layout>
                <c:manualLayout>
                  <c:x val="-9.5729221347331583E-2"/>
                  <c:y val="2.92562035323273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BB-485E-9AF4-4E9EC6B8462B}"/>
                </c:ext>
              </c:extLst>
            </c:dLbl>
            <c:dLbl>
              <c:idx val="3"/>
              <c:layout>
                <c:manualLayout>
                  <c:x val="4.2708333333332377E-3"/>
                  <c:y val="-3.98009013813512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BB-485E-9AF4-4E9EC6B8462B}"/>
                </c:ext>
              </c:extLst>
            </c:dLbl>
            <c:dLbl>
              <c:idx val="4"/>
              <c:layout>
                <c:manualLayout>
                  <c:x val="-7.0729221347331589E-2"/>
                  <c:y val="6.1128713492486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BB-485E-9AF4-4E9EC6B846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38797878390201224"/>
                  <c:y val="-0.485639175581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'dispercion polinomica'!$B$2:$B$6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xVal>
          <c:yVal>
            <c:numRef>
              <c:f>'dispercion polinomica'!$C$2:$C$6</c:f>
              <c:numCache>
                <c:formatCode>0%</c:formatCode>
                <c:ptCount val="5"/>
                <c:pt idx="0">
                  <c:v>0.3364485981308411</c:v>
                </c:pt>
                <c:pt idx="1">
                  <c:v>0.24299065420560748</c:v>
                </c:pt>
                <c:pt idx="2">
                  <c:v>9.3457943925233641E-2</c:v>
                </c:pt>
                <c:pt idx="3">
                  <c:v>0.15887850467289719</c:v>
                </c:pt>
                <c:pt idx="4">
                  <c:v>0.16822429906542055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BB-485E-9AF4-4E9EC6B8462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61893544"/>
        <c:axId val="461889608"/>
      </c:scatterChart>
      <c:valAx>
        <c:axId val="461893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FR INF PAIS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1889608"/>
        <c:crosses val="autoZero"/>
        <c:crossBetween val="midCat"/>
      </c:valAx>
      <c:valAx>
        <c:axId val="46188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FR CEMENTO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1893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81106463254596"/>
          <c:y val="0.20873775240246364"/>
          <c:w val="0.13375143536745407"/>
          <c:h val="0.641435517771433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4699085465879266"/>
          <c:y val="0.19486111111111112"/>
          <c:w val="0.69097994586614175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'dispercion polinomica'!$C$15</c:f>
              <c:strCache>
                <c:ptCount val="1"/>
                <c:pt idx="0">
                  <c:v>FR ARENA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2871145013123363E-2"/>
                  <c:y val="7.17938903470399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9A-459B-BC12-7F61EA946E54}"/>
                </c:ext>
              </c:extLst>
            </c:dLbl>
            <c:dLbl>
              <c:idx val="3"/>
              <c:layout>
                <c:manualLayout>
                  <c:x val="-4.2871145013123453E-2"/>
                  <c:y val="6.7164260717410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9A-459B-BC12-7F61EA946E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21908341535433071"/>
                  <c:y val="-0.313206295309740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'dispercion polinomica'!$B$16:$B$20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xVal>
          <c:yVal>
            <c:numRef>
              <c:f>'dispercion polinomica'!$C$16:$C$20</c:f>
              <c:numCache>
                <c:formatCode>0%</c:formatCode>
                <c:ptCount val="5"/>
                <c:pt idx="0">
                  <c:v>0.17592592592592593</c:v>
                </c:pt>
                <c:pt idx="1">
                  <c:v>0.21296296296296297</c:v>
                </c:pt>
                <c:pt idx="2">
                  <c:v>0.14814814814814814</c:v>
                </c:pt>
                <c:pt idx="3">
                  <c:v>0.17592592592592593</c:v>
                </c:pt>
                <c:pt idx="4">
                  <c:v>0.28703703703703703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9A-459B-BC12-7F61EA946E5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61901416"/>
        <c:axId val="461904696"/>
      </c:scatterChart>
      <c:valAx>
        <c:axId val="461901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FR INF PAIS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1904696"/>
        <c:crosses val="autoZero"/>
        <c:crossBetween val="midCat"/>
      </c:valAx>
      <c:valAx>
        <c:axId val="46190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FR ARENA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1901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47090988626427"/>
          <c:y val="0.22763815981335661"/>
          <c:w val="0.14286242344706912"/>
          <c:h val="0.4108807232429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3519112664944388"/>
          <c:y val="0.18316049382716049"/>
          <c:w val="0.67175574565949392"/>
          <c:h val="0.597563915621658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'dispercion polinomica'!$C$28</c:f>
              <c:strCache>
                <c:ptCount val="1"/>
                <c:pt idx="0">
                  <c:v>FR HIERRO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5258625579464647E-2"/>
                  <c:y val="5.68270632837561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D5-41E3-8892-D3861CF3E418}"/>
                </c:ext>
              </c:extLst>
            </c:dLbl>
            <c:dLbl>
              <c:idx val="1"/>
              <c:layout>
                <c:manualLayout>
                  <c:x val="-7.669281025529967E-2"/>
                  <c:y val="7.16418780985710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D5-41E3-8892-D3861CF3E418}"/>
                </c:ext>
              </c:extLst>
            </c:dLbl>
            <c:dLbl>
              <c:idx val="3"/>
              <c:layout>
                <c:manualLayout>
                  <c:x val="-3.2161048631200173E-2"/>
                  <c:y val="5.18887916788179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D5-41E3-8892-D3861CF3E4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25921115459781674"/>
                  <c:y val="-0.398291824633031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'dispercion polinomica'!$B$29:$B$33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xVal>
          <c:yVal>
            <c:numRef>
              <c:f>'dispercion polinomica'!$C$29:$C$33</c:f>
              <c:numCache>
                <c:formatCode>0%</c:formatCode>
                <c:ptCount val="5"/>
                <c:pt idx="0">
                  <c:v>0.17592592592592593</c:v>
                </c:pt>
                <c:pt idx="1">
                  <c:v>0.19444444444444445</c:v>
                </c:pt>
                <c:pt idx="2">
                  <c:v>0.28703703703703703</c:v>
                </c:pt>
                <c:pt idx="3">
                  <c:v>0.12962962962962962</c:v>
                </c:pt>
                <c:pt idx="4">
                  <c:v>0.21296296296296297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5-41E3-8892-D3861CF3E41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61404056"/>
        <c:axId val="461405696"/>
      </c:scatterChart>
      <c:valAx>
        <c:axId val="461404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FR INF PAIS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1405696"/>
        <c:crosses val="autoZero"/>
        <c:crossBetween val="midCat"/>
      </c:valAx>
      <c:valAx>
        <c:axId val="46140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FR HIERRO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1404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732010168669967"/>
          <c:y val="0.20948070380091374"/>
          <c:w val="0.15696280597538273"/>
          <c:h val="0.438272771459123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3626194745458797"/>
          <c:y val="0.17171296296296296"/>
          <c:w val="0.66858803045658899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'dispercion polinomica'!$C$41</c:f>
              <c:strCache>
                <c:ptCount val="1"/>
                <c:pt idx="0">
                  <c:v>FR LADRILLO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7.7300278059301994E-2"/>
                  <c:y val="3.01272236803732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FE-4A34-8C51-C5268794071B}"/>
                </c:ext>
              </c:extLst>
            </c:dLbl>
            <c:dLbl>
              <c:idx val="4"/>
              <c:layout>
                <c:manualLayout>
                  <c:x val="-3.3728853200281628E-3"/>
                  <c:y val="3.01272236803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FE-4A34-8C51-C526879407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30123957277617525"/>
                  <c:y val="-0.219484908136482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'dispercion polinomica'!$B$42:$B$46</c:f>
              <c:numCache>
                <c:formatCode>0%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xVal>
          <c:yVal>
            <c:numRef>
              <c:f>'dispercion polinomica'!$C$42:$C$46</c:f>
              <c:numCache>
                <c:formatCode>0%</c:formatCode>
                <c:ptCount val="5"/>
                <c:pt idx="0">
                  <c:v>0.15238095238095239</c:v>
                </c:pt>
                <c:pt idx="1">
                  <c:v>0.19047619047619047</c:v>
                </c:pt>
                <c:pt idx="2">
                  <c:v>0.24761904761904763</c:v>
                </c:pt>
                <c:pt idx="3">
                  <c:v>0.26666666666666666</c:v>
                </c:pt>
                <c:pt idx="4">
                  <c:v>0.14285714285714285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FE-4A34-8C51-C5268794071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31414576"/>
        <c:axId val="431414904"/>
      </c:scatterChart>
      <c:valAx>
        <c:axId val="43141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FR INF PAIS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414904"/>
        <c:crosses val="autoZero"/>
        <c:crossBetween val="midCat"/>
      </c:valAx>
      <c:valAx>
        <c:axId val="43141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FR LADRILLO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41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274431537641957"/>
          <c:y val="0.19986038203557888"/>
          <c:w val="0.16141410046516461"/>
          <c:h val="0.438658501020705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PREDICCION PRODUCTO SEGÚN INFLACION PAIS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'dispercion polinomica'!$L$14</c:f>
              <c:strCache>
                <c:ptCount val="1"/>
                <c:pt idx="0">
                  <c:v>MEDIA PROM INF PAIS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'dispercion polinomica'!$K$15:$K$18</c:f>
              <c:strCache>
                <c:ptCount val="4"/>
                <c:pt idx="0">
                  <c:v>CEMENTO</c:v>
                </c:pt>
                <c:pt idx="1">
                  <c:v>ARENA</c:v>
                </c:pt>
                <c:pt idx="2">
                  <c:v>HIERRO</c:v>
                </c:pt>
                <c:pt idx="3">
                  <c:v>LADRILLO</c:v>
                </c:pt>
              </c:strCache>
            </c:strRef>
          </c:cat>
          <c:val>
            <c:numRef>
              <c:f>'dispercion polinomica'!$L$15:$L$18</c:f>
              <c:numCache>
                <c:formatCode>0</c:formatCode>
                <c:ptCount val="4"/>
                <c:pt idx="0">
                  <c:v>13.866666666666665</c:v>
                </c:pt>
                <c:pt idx="1">
                  <c:v>13.866666666666665</c:v>
                </c:pt>
                <c:pt idx="2">
                  <c:v>13.866666666666665</c:v>
                </c:pt>
                <c:pt idx="3">
                  <c:v>13.866666666666665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1-4909-8653-232FF188AFDD}"/>
            </c:ext>
          </c:extLst>
        </c:ser>
        <c:ser>
          <c:idx val="1"/>
          <c:order val="1"/>
          <c:tx>
            <c:strRef>
              <c:f>'dispercion polinomica'!$M$14</c:f>
              <c:strCache>
                <c:ptCount val="1"/>
                <c:pt idx="0">
                  <c:v>PREDICCION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'dispercion polinomica'!$K$15:$K$18</c:f>
              <c:strCache>
                <c:ptCount val="4"/>
                <c:pt idx="0">
                  <c:v>CEMENTO</c:v>
                </c:pt>
                <c:pt idx="1">
                  <c:v>ARENA</c:v>
                </c:pt>
                <c:pt idx="2">
                  <c:v>HIERRO</c:v>
                </c:pt>
                <c:pt idx="3">
                  <c:v>LADRILLO</c:v>
                </c:pt>
              </c:strCache>
            </c:strRef>
          </c:cat>
          <c:val>
            <c:numRef>
              <c:f>'dispercion polinomica'!$M$15:$M$18</c:f>
              <c:numCache>
                <c:formatCode>0%</c:formatCode>
                <c:ptCount val="4"/>
                <c:pt idx="0">
                  <c:v>0.30299521777777788</c:v>
                </c:pt>
                <c:pt idx="1">
                  <c:v>0.22138489372444445</c:v>
                </c:pt>
                <c:pt idx="2">
                  <c:v>0.17882643626666669</c:v>
                </c:pt>
                <c:pt idx="3">
                  <c:v>0.1459113066666668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61-4909-8653-232FF188A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0047008"/>
        <c:axId val="480044384"/>
      </c:barChart>
      <c:catAx>
        <c:axId val="480047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INFLACION PAIS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0044384"/>
        <c:crosses val="autoZero"/>
        <c:auto val="1"/>
        <c:lblAlgn val="ctr"/>
        <c:lblOffset val="100"/>
        <c:noMultiLvlLbl val="0"/>
      </c:catAx>
      <c:valAx>
        <c:axId val="48004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INFLACION PAIS</a:t>
                </a:r>
              </a:p>
            </c:rich>
          </c:tx>
          <c:layout>
            <c:manualLayout>
              <c:xMode val="edge"/>
              <c:yMode val="edge"/>
              <c:x val="1.6918072206865031E-2"/>
              <c:y val="4.75272512185061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00470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444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PROYECCION A 4 AÑOS cemento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0428725527445507"/>
          <c:y val="2.48756121457232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'proyeccion 4 años'!$B$1</c:f>
              <c:strCache>
                <c:ptCount val="1"/>
                <c:pt idx="0">
                  <c:v>FR INF PAIS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6.6550150449163903E-2"/>
                  <c:y val="1.85493017076568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F2-4D93-89DA-33ACB1EABCEA}"/>
                </c:ext>
              </c:extLst>
            </c:dLbl>
            <c:dLbl>
              <c:idx val="3"/>
              <c:layout>
                <c:manualLayout>
                  <c:x val="-6.1559692725597322E-4"/>
                  <c:y val="-3.9063867016622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F2-4D93-89DA-33ACB1EABCEA}"/>
                </c:ext>
              </c:extLst>
            </c:dLbl>
            <c:dLbl>
              <c:idx val="4"/>
              <c:layout>
                <c:manualLayout>
                  <c:x val="-3.1674942462475132E-2"/>
                  <c:y val="-0.121368393765594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F2-4D93-89DA-33ACB1EABC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'proyeccion 4 años'!$A$2:$A$6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'proyeccion 4 años'!$B$2:$B$6</c:f>
              <c:numCache>
                <c:formatCode>0.00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F2-4D93-89DA-33ACB1EABCEA}"/>
            </c:ext>
          </c:extLst>
        </c:ser>
        <c:ser>
          <c:idx val="1"/>
          <c:order val="1"/>
          <c:tx>
            <c:strRef>
              <c:f>'proyeccion 4 años'!$C$1</c:f>
              <c:strCache>
                <c:ptCount val="1"/>
                <c:pt idx="0">
                  <c:v>FR CEMENTO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1.9972312113232103E-2"/>
                  <c:y val="1.03188490327597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F2-4D93-89DA-33ACB1EABCEA}"/>
                </c:ext>
              </c:extLst>
            </c:dLbl>
            <c:dLbl>
              <c:idx val="3"/>
              <c:layout>
                <c:manualLayout>
                  <c:x val="-7.6045436084216669E-2"/>
                  <c:y val="-2.67181880042773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F2-4D93-89DA-33ACB1EABCEA}"/>
                </c:ext>
              </c:extLst>
            </c:dLbl>
            <c:dLbl>
              <c:idx val="4"/>
              <c:layout>
                <c:manualLayout>
                  <c:x val="-2.7237893100300978E-2"/>
                  <c:y val="7.20472440944881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F2-4D93-89DA-33ACB1EABC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forward val="4"/>
            <c:dispRSqr val="1"/>
            <c:dispEq val="1"/>
            <c:trendlineLbl>
              <c:layout>
                <c:manualLayout>
                  <c:x val="1.2401039312474299E-2"/>
                  <c:y val="-0.366869891438885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'proyeccion 4 años'!$A$2:$A$6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'proyeccion 4 años'!$C$2:$C$6</c:f>
              <c:numCache>
                <c:formatCode>0.00</c:formatCode>
                <c:ptCount val="5"/>
                <c:pt idx="0">
                  <c:v>0.3364485981308411</c:v>
                </c:pt>
                <c:pt idx="1">
                  <c:v>0.24299065420560748</c:v>
                </c:pt>
                <c:pt idx="2">
                  <c:v>9.3457943925233641E-2</c:v>
                </c:pt>
                <c:pt idx="3">
                  <c:v>0.15887850467289719</c:v>
                </c:pt>
                <c:pt idx="4">
                  <c:v>0.16822429906542055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F2-4D93-89DA-33ACB1EABCE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23738232"/>
        <c:axId val="423737904"/>
      </c:scatterChart>
      <c:valAx>
        <c:axId val="423738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3737904"/>
        <c:crosses val="autoZero"/>
        <c:crossBetween val="midCat"/>
      </c:valAx>
      <c:valAx>
        <c:axId val="42373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3738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  <a:tileRect/>
    </a:gradFill>
    <a:ln w="2857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PROYECCION A 4 AÑOS arena</a:t>
            </a:r>
          </a:p>
        </c:rich>
      </c:tx>
      <c:layout>
        <c:manualLayout>
          <c:xMode val="edge"/>
          <c:yMode val="edge"/>
          <c:x val="0.12614531336661125"/>
          <c:y val="3.68102090686939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360378052394606"/>
          <c:y val="0.16750482554773702"/>
          <c:w val="0.84431276393556853"/>
          <c:h val="0.49557344007146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'proyeccion 4 años'!$B$15</c:f>
              <c:strCache>
                <c:ptCount val="1"/>
                <c:pt idx="0">
                  <c:v>FR INF PAIS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5548296521563633E-2"/>
                  <c:y val="4.74535901079471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58-4ED1-ADFB-2E345ADB495C}"/>
                </c:ext>
              </c:extLst>
            </c:dLbl>
            <c:dLbl>
              <c:idx val="2"/>
              <c:layout>
                <c:manualLayout>
                  <c:x val="1.1606066371533206E-3"/>
                  <c:y val="1.58403849627823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58-4ED1-ADFB-2E345ADB495C}"/>
                </c:ext>
              </c:extLst>
            </c:dLbl>
            <c:dLbl>
              <c:idx val="4"/>
              <c:layout>
                <c:manualLayout>
                  <c:x val="9.7979956156749575E-3"/>
                  <c:y val="3.3905073617162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58-4ED1-ADFB-2E345ADB49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'proyeccion 4 años'!$A$16:$A$20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'proyeccion 4 años'!$B$16:$B$20</c:f>
              <c:numCache>
                <c:formatCode>0.00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C1-46B4-B3B9-49A2DE9D416E}"/>
            </c:ext>
          </c:extLst>
        </c:ser>
        <c:ser>
          <c:idx val="1"/>
          <c:order val="1"/>
          <c:tx>
            <c:strRef>
              <c:f>'proyeccion 4 años'!$C$15</c:f>
              <c:strCache>
                <c:ptCount val="1"/>
                <c:pt idx="0">
                  <c:v>FR ARENA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5548296521563633E-2"/>
                  <c:y val="9.2615311743896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58-4ED1-ADFB-2E345ADB495C}"/>
                </c:ext>
              </c:extLst>
            </c:dLbl>
            <c:dLbl>
              <c:idx val="3"/>
              <c:layout>
                <c:manualLayout>
                  <c:x val="-2.9070254787672486E-2"/>
                  <c:y val="4.74535901079471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58-4ED1-ADFB-2E345ADB49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forward val="4"/>
            <c:dispRSqr val="1"/>
            <c:dispEq val="1"/>
            <c:trendlineLbl>
              <c:layout>
                <c:manualLayout>
                  <c:x val="6.2402524898509858E-2"/>
                  <c:y val="-0.159703831016967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'proyeccion 4 años'!$A$16:$A$20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'proyeccion 4 años'!$C$16:$C$20</c:f>
              <c:numCache>
                <c:formatCode>0.00</c:formatCode>
                <c:ptCount val="5"/>
                <c:pt idx="0">
                  <c:v>0.17592592592592593</c:v>
                </c:pt>
                <c:pt idx="1">
                  <c:v>0.21296296296296297</c:v>
                </c:pt>
                <c:pt idx="2">
                  <c:v>0.14814814814814814</c:v>
                </c:pt>
                <c:pt idx="3">
                  <c:v>0.17592592592592593</c:v>
                </c:pt>
                <c:pt idx="4">
                  <c:v>0.28703703703703703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C1-46B4-B3B9-49A2DE9D416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8977272"/>
        <c:axId val="548976944"/>
      </c:scatterChart>
      <c:valAx>
        <c:axId val="54897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8976944"/>
        <c:crosses val="autoZero"/>
        <c:crossBetween val="midCat"/>
      </c:valAx>
      <c:valAx>
        <c:axId val="5489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8977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PROYECCION 4 AÑOS hierro</a:t>
            </a:r>
          </a:p>
        </c:rich>
      </c:tx>
      <c:layout>
        <c:manualLayout>
          <c:xMode val="edge"/>
          <c:yMode val="edge"/>
          <c:x val="0.16919440069991254"/>
          <c:y val="2.2988505747126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'proyeccion 4 años'!$B$30</c:f>
              <c:strCache>
                <c:ptCount val="1"/>
                <c:pt idx="0">
                  <c:v>FR INF PAIS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3723010782573641E-2"/>
                  <c:y val="7.90274236835959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49-4BFC-AABA-74D5B2E2169D}"/>
                </c:ext>
              </c:extLst>
            </c:dLbl>
            <c:dLbl>
              <c:idx val="1"/>
              <c:layout>
                <c:manualLayout>
                  <c:x val="-6.3723010782573627E-2"/>
                  <c:y val="5.1943883758299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49-4BFC-AABA-74D5B2E2169D}"/>
                </c:ext>
              </c:extLst>
            </c:dLbl>
            <c:dLbl>
              <c:idx val="2"/>
              <c:layout>
                <c:manualLayout>
                  <c:x val="-7.0211560790901448E-2"/>
                  <c:y val="1.58324971912377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49-4BFC-AABA-74D5B2E2169D}"/>
                </c:ext>
              </c:extLst>
            </c:dLbl>
            <c:dLbl>
              <c:idx val="4"/>
              <c:layout>
                <c:manualLayout>
                  <c:x val="-2.9117410738158645E-2"/>
                  <c:y val="5.64578070791823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49-4BFC-AABA-74D5B2E216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forward val="4"/>
            <c:dispRSqr val="1"/>
            <c:dispEq val="1"/>
            <c:trendlineLbl>
              <c:layout>
                <c:manualLayout>
                  <c:x val="0.10019457567804024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'proyeccion 4 años'!$A$31:$A$35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'proyeccion 4 años'!$B$31:$B$35</c:f>
              <c:numCache>
                <c:formatCode>0.00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7-4E7E-8AB8-0AB145C2469F}"/>
            </c:ext>
          </c:extLst>
        </c:ser>
        <c:ser>
          <c:idx val="1"/>
          <c:order val="1"/>
          <c:tx>
            <c:strRef>
              <c:f>'proyeccion 4 años'!$C$30</c:f>
              <c:strCache>
                <c:ptCount val="1"/>
                <c:pt idx="0">
                  <c:v>FR HIERRO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9117410738158565E-2"/>
                  <c:y val="-0.1240991257561265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49-4BFC-AABA-74D5B2E2169D}"/>
                </c:ext>
              </c:extLst>
            </c:dLbl>
            <c:dLbl>
              <c:idx val="3"/>
              <c:layout>
                <c:manualLayout>
                  <c:x val="-3.3443110743710452E-2"/>
                  <c:y val="6.09717304000651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49-4BFC-AABA-74D5B2E2169D}"/>
                </c:ext>
              </c:extLst>
            </c:dLbl>
            <c:dLbl>
              <c:idx val="4"/>
              <c:layout>
                <c:manualLayout>
                  <c:x val="-3.7768810749262333E-2"/>
                  <c:y val="-9.25016625099475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49-4BFC-AABA-74D5B2E216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'proyeccion 4 años'!$A$31:$A$35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'proyeccion 4 años'!$C$31:$C$35</c:f>
              <c:numCache>
                <c:formatCode>0.00</c:formatCode>
                <c:ptCount val="5"/>
                <c:pt idx="0">
                  <c:v>0.17592592592592593</c:v>
                </c:pt>
                <c:pt idx="1">
                  <c:v>0.19444444444444445</c:v>
                </c:pt>
                <c:pt idx="2">
                  <c:v>0.28703703703703703</c:v>
                </c:pt>
                <c:pt idx="3">
                  <c:v>0.12962962962962962</c:v>
                </c:pt>
                <c:pt idx="4">
                  <c:v>0.21296296296296297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D7-4E7E-8AB8-0AB145C2469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8893304"/>
        <c:axId val="548893960"/>
      </c:scatterChart>
      <c:valAx>
        <c:axId val="548893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 b="1">
                    <a:latin typeface="Arial" panose="020B0604020202020204" pitchFamily="34" charset="0"/>
                    <a:cs typeface="Arial" panose="020B0604020202020204" pitchFamily="34" charset="0"/>
                  </a:rPr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8893960"/>
        <c:crosses val="autoZero"/>
        <c:crossBetween val="midCat"/>
      </c:valAx>
      <c:valAx>
        <c:axId val="54889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8893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54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PROYECCION 4 AÑOS ladrillo</a:t>
            </a:r>
          </a:p>
        </c:rich>
      </c:tx>
      <c:layout>
        <c:manualLayout>
          <c:xMode val="edge"/>
          <c:yMode val="edge"/>
          <c:x val="0.13586221557016118"/>
          <c:y val="2.6490066225165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'proyeccion 4 años'!$B$45</c:f>
              <c:strCache>
                <c:ptCount val="1"/>
                <c:pt idx="0">
                  <c:v>FR INF PAIS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535578047293468E-2"/>
                  <c:y val="5.83791594449206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D1-43C8-94FD-FF4EA7DE630E}"/>
                </c:ext>
              </c:extLst>
            </c:dLbl>
            <c:dLbl>
              <c:idx val="2"/>
              <c:layout>
                <c:manualLayout>
                  <c:x val="-9.9231236655349846E-4"/>
                  <c:y val="2.8125247791107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D1-43C8-94FD-FF4EA7DE630E}"/>
                </c:ext>
              </c:extLst>
            </c:dLbl>
            <c:dLbl>
              <c:idx val="3"/>
              <c:layout>
                <c:manualLayout>
                  <c:x val="-7.6083025157331508E-2"/>
                  <c:y val="2.3803260411990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D1-43C8-94FD-FF4EA7DE630E}"/>
                </c:ext>
              </c:extLst>
            </c:dLbl>
            <c:dLbl>
              <c:idx val="4"/>
              <c:layout>
                <c:manualLayout>
                  <c:x val="3.9771217434154488E-2"/>
                  <c:y val="-2.8060588137403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D1-43C8-94FD-FF4EA7DE63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2"/>
            <c:forward val="4"/>
            <c:dispRSqr val="1"/>
            <c:dispEq val="1"/>
            <c:trendlineLbl>
              <c:layout>
                <c:manualLayout>
                  <c:x val="8.5523697967506127E-2"/>
                  <c:y val="-0.159337748344370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'proyeccion 4 años'!$A$46:$A$50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'proyeccion 4 años'!$B$46:$B$50</c:f>
              <c:numCache>
                <c:formatCode>0.00</c:formatCode>
                <c:ptCount val="5"/>
                <c:pt idx="0">
                  <c:v>0.13</c:v>
                </c:pt>
                <c:pt idx="1">
                  <c:v>0.10333333333333333</c:v>
                </c:pt>
                <c:pt idx="2">
                  <c:v>0.06</c:v>
                </c:pt>
                <c:pt idx="3">
                  <c:v>0.21</c:v>
                </c:pt>
                <c:pt idx="4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54-4A6D-8AF9-7EE3A98F944A}"/>
            </c:ext>
          </c:extLst>
        </c:ser>
        <c:ser>
          <c:idx val="1"/>
          <c:order val="1"/>
          <c:tx>
            <c:strRef>
              <c:f>'proyeccion 4 años'!$C$45</c:f>
              <c:strCache>
                <c:ptCount val="1"/>
                <c:pt idx="0">
                  <c:v>FR LADRILLO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8919433662296537E-2"/>
                  <c:y val="-8.4246424065914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D1-43C8-94FD-FF4EA7DE630E}"/>
                </c:ext>
              </c:extLst>
            </c:dLbl>
            <c:dLbl>
              <c:idx val="3"/>
              <c:layout>
                <c:manualLayout>
                  <c:x val="2.4753074875998964E-2"/>
                  <c:y val="-4.9670525032984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D1-43C8-94FD-FF4EA7DE630E}"/>
                </c:ext>
              </c:extLst>
            </c:dLbl>
            <c:dLbl>
              <c:idx val="4"/>
              <c:layout>
                <c:manualLayout>
                  <c:x val="-2.673769960910596E-2"/>
                  <c:y val="5.40571720658044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D1-43C8-94FD-FF4EA7DE63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'proyeccion 4 años'!$A$46:$A$50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</c:numCache>
            </c:numRef>
          </c:xVal>
          <c:yVal>
            <c:numRef>
              <c:f>'proyeccion 4 años'!$C$46:$C$50</c:f>
              <c:numCache>
                <c:formatCode>0.00</c:formatCode>
                <c:ptCount val="5"/>
                <c:pt idx="0">
                  <c:v>0.15238095238095239</c:v>
                </c:pt>
                <c:pt idx="1">
                  <c:v>0.19047619047619047</c:v>
                </c:pt>
                <c:pt idx="2">
                  <c:v>0.24761904761904763</c:v>
                </c:pt>
                <c:pt idx="3">
                  <c:v>0.26666666666666666</c:v>
                </c:pt>
                <c:pt idx="4">
                  <c:v>0.14285714285714285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54-4A6D-8AF9-7EE3A98F94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82145216"/>
        <c:axId val="482145872"/>
      </c:scatterChart>
      <c:valAx>
        <c:axId val="48214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2145872"/>
        <c:crosses val="autoZero"/>
        <c:crossBetween val="midCat"/>
      </c:valAx>
      <c:valAx>
        <c:axId val="4821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2145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0"/>
            <a:lumOff val="100000"/>
          </a:schemeClr>
        </a:gs>
        <a:gs pos="35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2857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PREDICCION FR PRODUCTO A 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774198135462125"/>
          <c:y val="0.15153458016540136"/>
          <c:w val="0.80484335982472921"/>
          <c:h val="0.5676606597361568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'proyeccion 4 años'!$N$50</c:f>
              <c:strCache>
                <c:ptCount val="1"/>
                <c:pt idx="0">
                  <c:v>MEDIA FR PRODUCTO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'proyeccion 4 años'!$M$51:$M$54</c:f>
              <c:strCache>
                <c:ptCount val="4"/>
                <c:pt idx="0">
                  <c:v>CEMENTO</c:v>
                </c:pt>
                <c:pt idx="1">
                  <c:v>ARENA</c:v>
                </c:pt>
                <c:pt idx="2">
                  <c:v>HIERRO</c:v>
                </c:pt>
                <c:pt idx="3">
                  <c:v>LADRILLO</c:v>
                </c:pt>
              </c:strCache>
            </c:strRef>
          </c:cat>
          <c:val>
            <c:numRef>
              <c:f>'proyeccion 4 años'!$N$51:$N$54</c:f>
              <c:numCache>
                <c:formatCode>0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7-45BC-BA32-1037B7E6A39E}"/>
            </c:ext>
          </c:extLst>
        </c:ser>
        <c:ser>
          <c:idx val="1"/>
          <c:order val="1"/>
          <c:tx>
            <c:strRef>
              <c:f>'proyeccion 4 años'!$O$50</c:f>
              <c:strCache>
                <c:ptCount val="1"/>
                <c:pt idx="0">
                  <c:v>PREDICCION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'proyeccion 4 años'!$M$51:$M$54</c:f>
              <c:strCache>
                <c:ptCount val="4"/>
                <c:pt idx="0">
                  <c:v>CEMENTO</c:v>
                </c:pt>
                <c:pt idx="1">
                  <c:v>ARENA</c:v>
                </c:pt>
                <c:pt idx="2">
                  <c:v>HIERRO</c:v>
                </c:pt>
                <c:pt idx="3">
                  <c:v>LADRILLO</c:v>
                </c:pt>
              </c:strCache>
            </c:strRef>
          </c:cat>
          <c:val>
            <c:numRef>
              <c:f>'proyeccion 4 años'!$O$51:$O$54</c:f>
              <c:numCache>
                <c:formatCode>0%</c:formatCode>
                <c:ptCount val="4"/>
                <c:pt idx="0">
                  <c:v>0.30679928100000003</c:v>
                </c:pt>
                <c:pt idx="1">
                  <c:v>0.17519528571999998</c:v>
                </c:pt>
                <c:pt idx="2">
                  <c:v>0.15033020548000001</c:v>
                </c:pt>
                <c:pt idx="3">
                  <c:v>0.15033020548000001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A7-45BC-BA32-1037B7E6A3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5562512"/>
        <c:axId val="485562184"/>
      </c:barChart>
      <c:catAx>
        <c:axId val="485562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MEDIA FR PRODUCTO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5562184"/>
        <c:crosses val="autoZero"/>
        <c:auto val="1"/>
        <c:lblAlgn val="ctr"/>
        <c:lblOffset val="100"/>
        <c:noMultiLvlLbl val="0"/>
      </c:catAx>
      <c:valAx>
        <c:axId val="48556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PORCENTAJE</a:t>
                </a:r>
              </a:p>
            </c:rich>
          </c:tx>
          <c:layout>
            <c:manualLayout>
              <c:xMode val="edge"/>
              <c:yMode val="edge"/>
              <c:x val="7.8780204025561351E-2"/>
              <c:y val="0.335553863548486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55625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810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en-US" sz="1600" b="1">
                <a:latin typeface="Arial" panose="020B0604020202020204" pitchFamily="34" charset="0"/>
                <a:cs typeface="Arial" panose="020B0604020202020204" pitchFamily="34" charset="0"/>
              </a:rPr>
              <a:t>PRECIO DE CEMENTO</a:t>
            </a:r>
          </a:p>
          <a:p>
            <a:pPr algn="ctr">
              <a:defRPr/>
            </a:pPr>
            <a:r>
              <a:rPr lang="en-US" sz="1600" b="1">
                <a:latin typeface="Arial" panose="020B0604020202020204" pitchFamily="34" charset="0"/>
                <a:cs typeface="Arial" panose="020B0604020202020204" pitchFamily="34" charset="0"/>
              </a:rPr>
              <a:t> 2016 / 2024</a:t>
            </a:r>
          </a:p>
          <a:p>
            <a:pPr algn="ctr">
              <a:defRPr/>
            </a:pPr>
            <a:endParaRPr lang="en-US" sz="1600" b="1">
              <a:latin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ADD38250-5A7F-4A88-B12E-3EA8D0BE3CED}">
          <cx:tx>
            <cx:txData>
              <cx:f>_xlchart.v1.0</cx:f>
              <cx:v> PRECIO </cx:v>
            </cx:txData>
          </cx:tx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lang="es-ES" sz="16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</a:defRPr>
                </a:pPr>
                <a:endParaRPr lang="en-US" sz="1600" b="1" i="0" baseline="0">
                  <a:latin typeface="Arial" panose="020B060402020202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 b="1"/>
                </a:pPr>
                <a:r>
                  <a:rPr lang="en-US" sz="2800" b="1">
                    <a:solidFill>
                      <a:srgbClr val="FF0000"/>
                    </a:solidFill>
                  </a:rPr>
                  <a:t>POSICION</a:t>
                </a:r>
              </a:p>
              <a:p>
                <a:pPr algn="ctr">
                  <a:defRPr b="1"/>
                </a:pPr>
                <a:endParaRPr lang="en-US"/>
              </a:p>
            </cx:rich>
          </cx:tx>
        </cx:title>
        <cx:tickLabels/>
      </cx:axis>
      <cx:axis id="1">
        <cx:valScaling/>
        <cx:title/>
        <cx:majorGridlines/>
        <cx:tickLabels/>
        <cx:spPr>
          <a:ln>
            <a:solidFill>
              <a:srgbClr val="FFFF00"/>
            </a:solidFill>
          </a:ln>
        </cx:spPr>
        <cx:txPr>
          <a:bodyPr rot="-60000000" spcFirstLastPara="1" vertOverflow="ellipsis" vert="horz" wrap="square" lIns="0" tIns="0" rIns="0" bIns="0" anchor="ctr" anchorCtr="1"/>
          <a:lstStyle/>
          <a:p>
            <a:pPr>
              <a:defRPr sz="1200" b="1" i="0" baseline="0">
                <a:solidFill>
                  <a:srgbClr val="FF0000"/>
                </a:solidFill>
                <a:latin typeface="Arial" panose="020B0604020202020204" pitchFamily="34" charset="0"/>
              </a:defRPr>
            </a:pPr>
            <a:endParaRPr lang="en-US" sz="1200" b="1" i="0" baseline="0">
              <a:solidFill>
                <a:srgbClr val="FF0000"/>
              </a:solidFill>
              <a:latin typeface="Arial" panose="020B0604020202020204" pitchFamily="34" charset="0"/>
            </a:endParaRPr>
          </a:p>
        </cx:txPr>
      </cx:axis>
    </cx:plotArea>
    <cx:legend pos="t" align="ctr" overlay="0"/>
  </cx:chart>
  <cx:spPr>
    <a:gradFill>
      <a:gsLst>
        <a:gs pos="0">
          <a:schemeClr val="accent4">
            <a:lumMod val="40000"/>
            <a:lumOff val="60000"/>
          </a:schemeClr>
        </a:gs>
        <a:gs pos="48000">
          <a:schemeClr val="accent4">
            <a:lumMod val="0"/>
            <a:lumOff val="100000"/>
          </a:schemeClr>
        </a:gs>
        <a:gs pos="100000">
          <a:schemeClr val="accent4">
            <a:lumMod val="100000"/>
          </a:schemeClr>
        </a:gs>
      </a:gsLst>
      <a:path path="circle">
        <a:fillToRect l="50000" t="-80000" r="50000" b="180000"/>
      </a:path>
    </a:gradFill>
    <a:ln w="31750" cmpd="sng">
      <a:solidFill>
        <a:srgbClr val="FF000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CIERRES DE AÑO</cx:v>
        </cx:txData>
      </cx:tx>
      <cx:txPr>
        <a:bodyPr rot="0" spcFirstLastPara="1" vertOverflow="ellipsis" vert="horz" wrap="square" lIns="0" tIns="0" rIns="0" bIns="0" anchor="ctr" anchorCtr="1"/>
        <a:lstStyle/>
        <a:p>
          <a:pPr algn="ctr">
            <a:defRPr lang="es-ES" sz="2000" b="1" i="0" u="sng" strike="noStrike" kern="1200" spc="0" baseline="0">
              <a:solidFill>
                <a:sysClr val="windowText" lastClr="000000"/>
              </a:solidFill>
              <a:latin typeface="Calibri" panose="020F0502020204030204"/>
            </a:defRPr>
          </a:pPr>
          <a:r>
            <a:rPr lang="en-US" sz="2000" b="1" u="sng">
              <a:solidFill>
                <a:sysClr val="windowText" lastClr="000000"/>
              </a:solidFill>
            </a:rPr>
            <a:t>CIERRES DE AÑO</a:t>
          </a:r>
        </a:p>
      </cx:txPr>
    </cx:title>
    <cx:plotArea>
      <cx:plotAreaRegion>
        <cx:series layoutId="boxWhisker" uniqueId="{D1ED7D75-B259-41BC-970F-5D5B50052A18}"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sz="1700" baseline="0">
                    <a:solidFill>
                      <a:sysClr val="windowText" lastClr="000000"/>
                    </a:solidFill>
                  </a:defRPr>
                </a:pPr>
                <a:endParaRPr lang="en-US" sz="1700" baseline="0">
                  <a:solidFill>
                    <a:sysClr val="windowText" lastClr="000000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/>
        <cx:tickLabels/>
      </cx:axis>
      <cx:axis id="1">
        <cx:valScaling/>
        <cx:title>
          <cx:tx>
            <cx:txData>
              <cx:v>EUROS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 sz="1500" b="1" baseline="0">
                  <a:solidFill>
                    <a:sysClr val="windowText" lastClr="000000"/>
                  </a:solidFill>
                </a:defRPr>
              </a:pPr>
              <a:r>
                <a:rPr lang="en-US" sz="1500" b="1" baseline="0">
                  <a:solidFill>
                    <a:sysClr val="windowText" lastClr="000000"/>
                  </a:solidFill>
                </a:rPr>
                <a:t>EUROS</a:t>
              </a:r>
            </a:p>
          </cx:txPr>
        </cx:title>
        <cx:majorGridlines/>
        <cx:tickLabels/>
        <cx:txPr>
          <a:bodyPr rot="-60000000" spcFirstLastPara="1" vertOverflow="ellipsis" vert="horz" wrap="square" lIns="0" tIns="0" rIns="0" bIns="0" anchor="ctr" anchorCtr="1"/>
          <a:lstStyle/>
          <a:p>
            <a:pPr>
              <a:defRPr sz="1100" baseline="0">
                <a:solidFill>
                  <a:sysClr val="windowText" lastClr="000000"/>
                </a:solidFill>
              </a:defRPr>
            </a:pPr>
            <a:endParaRPr lang="en-US" sz="1100" baseline="0">
              <a:solidFill>
                <a:sysClr val="windowText" lastClr="000000"/>
              </a:solidFill>
            </a:endParaRPr>
          </a:p>
        </cx:txPr>
      </cx:axis>
    </cx:plotArea>
  </cx:chart>
  <cx:spPr>
    <a:solidFill>
      <a:schemeClr val="accent2">
        <a:lumMod val="60000"/>
        <a:lumOff val="40000"/>
      </a:schemeClr>
    </a:solidFill>
    <a:ln w="44450" cmpd="sng">
      <a:solidFill>
        <a:srgbClr val="FF000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10.xml"/><Relationship Id="rId7" Type="http://schemas.microsoft.com/office/2014/relationships/chartEx" Target="../charts/chartEx2.xml"/><Relationship Id="rId2" Type="http://schemas.openxmlformats.org/officeDocument/2006/relationships/chart" Target="../charts/chart9.xml"/><Relationship Id="rId1" Type="http://schemas.microsoft.com/office/2014/relationships/chartEx" Target="../charts/chartEx1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79</xdr:row>
      <xdr:rowOff>76200</xdr:rowOff>
    </xdr:from>
    <xdr:to>
      <xdr:col>14</xdr:col>
      <xdr:colOff>445008</xdr:colOff>
      <xdr:row>81</xdr:row>
      <xdr:rowOff>141732</xdr:rowOff>
    </xdr:to>
    <xdr:sp macro="" textlink="">
      <xdr:nvSpPr>
        <xdr:cNvPr id="2" name="Flecha derech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944850" y="17640300"/>
          <a:ext cx="1530858" cy="484632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114300</xdr:colOff>
      <xdr:row>28</xdr:row>
      <xdr:rowOff>133350</xdr:rowOff>
    </xdr:from>
    <xdr:to>
      <xdr:col>11</xdr:col>
      <xdr:colOff>685800</xdr:colOff>
      <xdr:row>30</xdr:row>
      <xdr:rowOff>84582</xdr:rowOff>
    </xdr:to>
    <xdr:sp macro="" textlink="">
      <xdr:nvSpPr>
        <xdr:cNvPr id="3" name="Flecha derech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3601700" y="6400800"/>
          <a:ext cx="571500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60403</xdr:colOff>
      <xdr:row>10</xdr:row>
      <xdr:rowOff>115229</xdr:rowOff>
    </xdr:from>
    <xdr:to>
      <xdr:col>8</xdr:col>
      <xdr:colOff>708566</xdr:colOff>
      <xdr:row>22</xdr:row>
      <xdr:rowOff>185854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127774</xdr:rowOff>
    </xdr:from>
    <xdr:to>
      <xdr:col>4</xdr:col>
      <xdr:colOff>801493</xdr:colOff>
      <xdr:row>23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58079</xdr:colOff>
      <xdr:row>10</xdr:row>
      <xdr:rowOff>58079</xdr:rowOff>
    </xdr:from>
    <xdr:to>
      <xdr:col>12</xdr:col>
      <xdr:colOff>534329</xdr:colOff>
      <xdr:row>22</xdr:row>
      <xdr:rowOff>174239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13939</xdr:colOff>
      <xdr:row>10</xdr:row>
      <xdr:rowOff>57150</xdr:rowOff>
    </xdr:from>
    <xdr:to>
      <xdr:col>17</xdr:col>
      <xdr:colOff>92927</xdr:colOff>
      <xdr:row>22</xdr:row>
      <xdr:rowOff>162622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46463</xdr:colOff>
      <xdr:row>10</xdr:row>
      <xdr:rowOff>46462</xdr:rowOff>
    </xdr:from>
    <xdr:to>
      <xdr:col>20</xdr:col>
      <xdr:colOff>336859</xdr:colOff>
      <xdr:row>23</xdr:row>
      <xdr:rowOff>928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374031</xdr:colOff>
      <xdr:row>10</xdr:row>
      <xdr:rowOff>46463</xdr:rowOff>
    </xdr:from>
    <xdr:to>
      <xdr:col>25</xdr:col>
      <xdr:colOff>0</xdr:colOff>
      <xdr:row>22</xdr:row>
      <xdr:rowOff>185853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34846</xdr:colOff>
      <xdr:row>10</xdr:row>
      <xdr:rowOff>10686</xdr:rowOff>
    </xdr:from>
    <xdr:to>
      <xdr:col>29</xdr:col>
      <xdr:colOff>0</xdr:colOff>
      <xdr:row>23</xdr:row>
      <xdr:rowOff>11616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255548</xdr:colOff>
      <xdr:row>23</xdr:row>
      <xdr:rowOff>126845</xdr:rowOff>
    </xdr:from>
    <xdr:to>
      <xdr:col>22</xdr:col>
      <xdr:colOff>418170</xdr:colOff>
      <xdr:row>40</xdr:row>
      <xdr:rowOff>176893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238008</xdr:colOff>
      <xdr:row>43</xdr:row>
      <xdr:rowOff>61941</xdr:rowOff>
    </xdr:from>
    <xdr:to>
      <xdr:col>17</xdr:col>
      <xdr:colOff>185665</xdr:colOff>
      <xdr:row>45</xdr:row>
      <xdr:rowOff>183837</xdr:rowOff>
    </xdr:to>
    <xdr:sp macro="" textlink="">
      <xdr:nvSpPr>
        <xdr:cNvPr id="117" name="Elipse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11273069" y="8599593"/>
          <a:ext cx="516834" cy="5168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2400"/>
            <a:t>I</a:t>
          </a:r>
          <a:endParaRPr lang="en-US" sz="2400"/>
        </a:p>
      </xdr:txBody>
    </xdr:sp>
    <xdr:clientData/>
  </xdr:twoCellAnchor>
  <xdr:twoCellAnchor>
    <xdr:from>
      <xdr:col>15</xdr:col>
      <xdr:colOff>506222</xdr:colOff>
      <xdr:row>47</xdr:row>
      <xdr:rowOff>133453</xdr:rowOff>
    </xdr:from>
    <xdr:to>
      <xdr:col>18</xdr:col>
      <xdr:colOff>370468</xdr:colOff>
      <xdr:row>52</xdr:row>
      <xdr:rowOff>60506</xdr:rowOff>
    </xdr:to>
    <xdr:sp macro="" textlink="">
      <xdr:nvSpPr>
        <xdr:cNvPr id="118" name="Rombo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10670094" y="9460983"/>
          <a:ext cx="1722783" cy="914401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P&gt;80%</a:t>
          </a:r>
          <a:endParaRPr lang="en-US"/>
        </a:p>
      </xdr:txBody>
    </xdr:sp>
    <xdr:clientData/>
  </xdr:twoCellAnchor>
  <xdr:twoCellAnchor>
    <xdr:from>
      <xdr:col>16</xdr:col>
      <xdr:colOff>496425</xdr:colOff>
      <xdr:row>45</xdr:row>
      <xdr:rowOff>183837</xdr:rowOff>
    </xdr:from>
    <xdr:to>
      <xdr:col>16</xdr:col>
      <xdr:colOff>496425</xdr:colOff>
      <xdr:row>47</xdr:row>
      <xdr:rowOff>133453</xdr:rowOff>
    </xdr:to>
    <xdr:cxnSp macro="">
      <xdr:nvCxnSpPr>
        <xdr:cNvPr id="119" name="Conector recto de flecha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CxnSpPr>
          <a:stCxn id="117" idx="4"/>
          <a:endCxn id="118" idx="0"/>
        </xdr:cNvCxnSpPr>
      </xdr:nvCxnSpPr>
      <xdr:spPr>
        <a:xfrm>
          <a:off x="11531486" y="9116428"/>
          <a:ext cx="0" cy="3445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121910</xdr:colOff>
      <xdr:row>49</xdr:row>
      <xdr:rowOff>195714</xdr:rowOff>
    </xdr:from>
    <xdr:to>
      <xdr:col>15</xdr:col>
      <xdr:colOff>506222</xdr:colOff>
      <xdr:row>52</xdr:row>
      <xdr:rowOff>60506</xdr:rowOff>
    </xdr:to>
    <xdr:cxnSp macro="">
      <xdr:nvCxnSpPr>
        <xdr:cNvPr id="120" name="Conector angular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CxnSpPr>
          <a:stCxn id="118" idx="1"/>
        </xdr:cNvCxnSpPr>
      </xdr:nvCxnSpPr>
      <xdr:spPr>
        <a:xfrm rot="10800000" flipV="1">
          <a:off x="10285782" y="9918184"/>
          <a:ext cx="384312" cy="4572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370468</xdr:colOff>
      <xdr:row>49</xdr:row>
      <xdr:rowOff>195714</xdr:rowOff>
    </xdr:from>
    <xdr:to>
      <xdr:col>19</xdr:col>
      <xdr:colOff>185606</xdr:colOff>
      <xdr:row>52</xdr:row>
      <xdr:rowOff>60506</xdr:rowOff>
    </xdr:to>
    <xdr:cxnSp macro="">
      <xdr:nvCxnSpPr>
        <xdr:cNvPr id="121" name="Conector angular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CxnSpPr>
          <a:stCxn id="118" idx="3"/>
        </xdr:cNvCxnSpPr>
      </xdr:nvCxnSpPr>
      <xdr:spPr>
        <a:xfrm>
          <a:off x="12392877" y="9918184"/>
          <a:ext cx="384314" cy="4572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81484</xdr:colOff>
      <xdr:row>52</xdr:row>
      <xdr:rowOff>47252</xdr:rowOff>
    </xdr:from>
    <xdr:to>
      <xdr:col>15</xdr:col>
      <xdr:colOff>731509</xdr:colOff>
      <xdr:row>54</xdr:row>
      <xdr:rowOff>63131</xdr:rowOff>
    </xdr:to>
    <xdr:sp macro="" textlink="">
      <xdr:nvSpPr>
        <xdr:cNvPr id="122" name="Rectángulo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9676179" y="10362130"/>
          <a:ext cx="1219202" cy="4108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  <a:p>
          <a:pPr algn="ctr"/>
          <a:r>
            <a:rPr lang="es-CO"/>
            <a:t>MALO</a:t>
          </a:r>
        </a:p>
        <a:p>
          <a:pPr algn="ctr"/>
          <a:endParaRPr lang="en-US"/>
        </a:p>
      </xdr:txBody>
    </xdr:sp>
    <xdr:clientData/>
  </xdr:twoCellAnchor>
  <xdr:twoCellAnchor>
    <xdr:from>
      <xdr:col>17</xdr:col>
      <xdr:colOff>108638</xdr:colOff>
      <xdr:row>52</xdr:row>
      <xdr:rowOff>78729</xdr:rowOff>
    </xdr:from>
    <xdr:to>
      <xdr:col>20</xdr:col>
      <xdr:colOff>367116</xdr:colOff>
      <xdr:row>57</xdr:row>
      <xdr:rowOff>55475</xdr:rowOff>
    </xdr:to>
    <xdr:sp macro="" textlink="">
      <xdr:nvSpPr>
        <xdr:cNvPr id="123" name="Rombo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11712876" y="10393607"/>
          <a:ext cx="2128630" cy="964094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P&gt;50%</a:t>
          </a:r>
          <a:endParaRPr lang="en-US"/>
        </a:p>
      </xdr:txBody>
    </xdr:sp>
    <xdr:clientData/>
  </xdr:twoCellAnchor>
  <xdr:twoCellAnchor>
    <xdr:from>
      <xdr:col>16</xdr:col>
      <xdr:colOff>301783</xdr:colOff>
      <xdr:row>54</xdr:row>
      <xdr:rowOff>165837</xdr:rowOff>
    </xdr:from>
    <xdr:to>
      <xdr:col>17</xdr:col>
      <xdr:colOff>108638</xdr:colOff>
      <xdr:row>57</xdr:row>
      <xdr:rowOff>5782</xdr:rowOff>
    </xdr:to>
    <xdr:cxnSp macro="">
      <xdr:nvCxnSpPr>
        <xdr:cNvPr id="124" name="Conector angular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CxnSpPr>
          <a:stCxn id="123" idx="1"/>
        </xdr:cNvCxnSpPr>
      </xdr:nvCxnSpPr>
      <xdr:spPr>
        <a:xfrm rot="10800000" flipV="1">
          <a:off x="11336844" y="10875654"/>
          <a:ext cx="376032" cy="43235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758012</xdr:colOff>
      <xdr:row>57</xdr:row>
      <xdr:rowOff>73698</xdr:rowOff>
    </xdr:from>
    <xdr:to>
      <xdr:col>18</xdr:col>
      <xdr:colOff>118677</xdr:colOff>
      <xdr:row>59</xdr:row>
      <xdr:rowOff>89577</xdr:rowOff>
    </xdr:to>
    <xdr:sp macro="" textlink="">
      <xdr:nvSpPr>
        <xdr:cNvPr id="125" name="Rectángulo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10921884" y="11375924"/>
          <a:ext cx="1219202" cy="4108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  <a:p>
          <a:pPr algn="ctr"/>
          <a:r>
            <a:rPr lang="es-CO"/>
            <a:t>REGULAR</a:t>
          </a:r>
        </a:p>
        <a:p>
          <a:pPr algn="ctr"/>
          <a:endParaRPr lang="en-US"/>
        </a:p>
      </xdr:txBody>
    </xdr:sp>
    <xdr:clientData/>
  </xdr:twoCellAnchor>
  <xdr:twoCellAnchor>
    <xdr:from>
      <xdr:col>19</xdr:col>
      <xdr:colOff>648602</xdr:colOff>
      <xdr:row>58</xdr:row>
      <xdr:rowOff>35256</xdr:rowOff>
    </xdr:from>
    <xdr:to>
      <xdr:col>22</xdr:col>
      <xdr:colOff>557716</xdr:colOff>
      <xdr:row>62</xdr:row>
      <xdr:rowOff>159779</xdr:rowOff>
    </xdr:to>
    <xdr:sp macro="" textlink="">
      <xdr:nvSpPr>
        <xdr:cNvPr id="126" name="Rombo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13240187" y="11534951"/>
          <a:ext cx="1686340" cy="914401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P&gt;30%</a:t>
          </a:r>
          <a:endParaRPr lang="en-US"/>
        </a:p>
      </xdr:txBody>
    </xdr:sp>
    <xdr:clientData/>
  </xdr:twoCellAnchor>
  <xdr:twoCellAnchor>
    <xdr:from>
      <xdr:col>20</xdr:col>
      <xdr:colOff>367116</xdr:colOff>
      <xdr:row>54</xdr:row>
      <xdr:rowOff>165837</xdr:rowOff>
    </xdr:from>
    <xdr:to>
      <xdr:col>21</xdr:col>
      <xdr:colOff>214028</xdr:colOff>
      <xdr:row>58</xdr:row>
      <xdr:rowOff>35256</xdr:rowOff>
    </xdr:to>
    <xdr:cxnSp macro="">
      <xdr:nvCxnSpPr>
        <xdr:cNvPr id="127" name="Conector angular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CxnSpPr>
          <a:stCxn id="123" idx="3"/>
        </xdr:cNvCxnSpPr>
      </xdr:nvCxnSpPr>
      <xdr:spPr>
        <a:xfrm>
          <a:off x="13841506" y="10875654"/>
          <a:ext cx="241851" cy="65929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344632</xdr:colOff>
      <xdr:row>60</xdr:row>
      <xdr:rowOff>97518</xdr:rowOff>
    </xdr:from>
    <xdr:to>
      <xdr:col>19</xdr:col>
      <xdr:colOff>648602</xdr:colOff>
      <xdr:row>62</xdr:row>
      <xdr:rowOff>159779</xdr:rowOff>
    </xdr:to>
    <xdr:cxnSp macro="">
      <xdr:nvCxnSpPr>
        <xdr:cNvPr id="128" name="Conector angular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CxnSpPr>
          <a:stCxn id="126" idx="1"/>
        </xdr:cNvCxnSpPr>
      </xdr:nvCxnSpPr>
      <xdr:spPr>
        <a:xfrm rot="10800000" flipV="1">
          <a:off x="12936217" y="11992152"/>
          <a:ext cx="303970" cy="4572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304206</xdr:colOff>
      <xdr:row>62</xdr:row>
      <xdr:rowOff>159779</xdr:rowOff>
    </xdr:from>
    <xdr:to>
      <xdr:col>20</xdr:col>
      <xdr:colOff>71427</xdr:colOff>
      <xdr:row>64</xdr:row>
      <xdr:rowOff>175658</xdr:rowOff>
    </xdr:to>
    <xdr:sp macro="" textlink="">
      <xdr:nvSpPr>
        <xdr:cNvPr id="129" name="Rectángulo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12326615" y="12449352"/>
          <a:ext cx="1219202" cy="4108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  <a:p>
          <a:pPr algn="ctr"/>
          <a:r>
            <a:rPr lang="es-CO"/>
            <a:t>BUENO</a:t>
          </a:r>
        </a:p>
        <a:p>
          <a:pPr algn="ctr"/>
          <a:endParaRPr lang="en-US"/>
        </a:p>
      </xdr:txBody>
    </xdr:sp>
    <xdr:clientData/>
  </xdr:twoCellAnchor>
  <xdr:twoCellAnchor>
    <xdr:from>
      <xdr:col>22</xdr:col>
      <xdr:colOff>557716</xdr:colOff>
      <xdr:row>60</xdr:row>
      <xdr:rowOff>97518</xdr:rowOff>
    </xdr:from>
    <xdr:to>
      <xdr:col>23</xdr:col>
      <xdr:colOff>396872</xdr:colOff>
      <xdr:row>62</xdr:row>
      <xdr:rowOff>159779</xdr:rowOff>
    </xdr:to>
    <xdr:cxnSp macro="">
      <xdr:nvCxnSpPr>
        <xdr:cNvPr id="130" name="Conector angular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CxnSpPr>
          <a:stCxn id="126" idx="3"/>
        </xdr:cNvCxnSpPr>
      </xdr:nvCxnSpPr>
      <xdr:spPr>
        <a:xfrm>
          <a:off x="14926527" y="11992152"/>
          <a:ext cx="408333" cy="4572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416496</xdr:colOff>
      <xdr:row>62</xdr:row>
      <xdr:rowOff>159779</xdr:rowOff>
    </xdr:from>
    <xdr:to>
      <xdr:col>24</xdr:col>
      <xdr:colOff>195332</xdr:colOff>
      <xdr:row>64</xdr:row>
      <xdr:rowOff>175658</xdr:rowOff>
    </xdr:to>
    <xdr:sp macro="" textlink="">
      <xdr:nvSpPr>
        <xdr:cNvPr id="131" name="Rectángulo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>
          <a:off x="14785307" y="12449352"/>
          <a:ext cx="1219202" cy="4108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EXELENTE</a:t>
          </a:r>
          <a:endParaRPr lang="en-US"/>
        </a:p>
      </xdr:txBody>
    </xdr:sp>
    <xdr:clientData/>
  </xdr:twoCellAnchor>
  <xdr:twoCellAnchor>
    <xdr:from>
      <xdr:col>19</xdr:col>
      <xdr:colOff>350981</xdr:colOff>
      <xdr:row>64</xdr:row>
      <xdr:rowOff>169308</xdr:rowOff>
    </xdr:from>
    <xdr:to>
      <xdr:col>23</xdr:col>
      <xdr:colOff>463270</xdr:colOff>
      <xdr:row>64</xdr:row>
      <xdr:rowOff>182008</xdr:rowOff>
    </xdr:to>
    <xdr:cxnSp macro="">
      <xdr:nvCxnSpPr>
        <xdr:cNvPr id="132" name="Conector angular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CxnSpPr>
          <a:stCxn id="129" idx="2"/>
          <a:endCxn id="131" idx="2"/>
        </xdr:cNvCxnSpPr>
      </xdr:nvCxnSpPr>
      <xdr:spPr>
        <a:xfrm rot="16200000" flipH="1">
          <a:off x="14165562" y="11630824"/>
          <a:ext cx="12700" cy="2458692"/>
        </a:xfrm>
        <a:prstGeom prst="bentConnector3">
          <a:avLst>
            <a:gd name="adj1" fmla="val 180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121908</xdr:colOff>
      <xdr:row>68</xdr:row>
      <xdr:rowOff>46464</xdr:rowOff>
    </xdr:from>
    <xdr:to>
      <xdr:col>19</xdr:col>
      <xdr:colOff>871189</xdr:colOff>
      <xdr:row>68</xdr:row>
      <xdr:rowOff>54736</xdr:rowOff>
    </xdr:to>
    <xdr:cxnSp macro="">
      <xdr:nvCxnSpPr>
        <xdr:cNvPr id="134" name="Conector recto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CxnSpPr/>
      </xdr:nvCxnSpPr>
      <xdr:spPr>
        <a:xfrm flipV="1">
          <a:off x="10285780" y="13520854"/>
          <a:ext cx="3176994" cy="82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409940</xdr:colOff>
      <xdr:row>69</xdr:row>
      <xdr:rowOff>50668</xdr:rowOff>
    </xdr:from>
    <xdr:to>
      <xdr:col>18</xdr:col>
      <xdr:colOff>446465</xdr:colOff>
      <xdr:row>71</xdr:row>
      <xdr:rowOff>51361</xdr:rowOff>
    </xdr:to>
    <xdr:sp macro="" textlink="">
      <xdr:nvSpPr>
        <xdr:cNvPr id="135" name="Rectángulo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10573812" y="13722528"/>
          <a:ext cx="1895062" cy="39563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  <a:p>
          <a:pPr algn="ctr"/>
          <a:r>
            <a:rPr lang="es-CO"/>
            <a:t>INCREMENTO</a:t>
          </a:r>
        </a:p>
        <a:p>
          <a:pPr algn="ctr"/>
          <a:endParaRPr lang="en-US"/>
        </a:p>
      </xdr:txBody>
    </xdr:sp>
    <xdr:clientData/>
  </xdr:twoCellAnchor>
  <xdr:twoCellAnchor>
    <xdr:from>
      <xdr:col>21</xdr:col>
      <xdr:colOff>302584</xdr:colOff>
      <xdr:row>66</xdr:row>
      <xdr:rowOff>32508</xdr:rowOff>
    </xdr:from>
    <xdr:to>
      <xdr:col>21</xdr:col>
      <xdr:colOff>312729</xdr:colOff>
      <xdr:row>66</xdr:row>
      <xdr:rowOff>191536</xdr:rowOff>
    </xdr:to>
    <xdr:cxnSp macro="">
      <xdr:nvCxnSpPr>
        <xdr:cNvPr id="136" name="Conector recto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CxnSpPr/>
      </xdr:nvCxnSpPr>
      <xdr:spPr>
        <a:xfrm flipH="1" flipV="1">
          <a:off x="14171913" y="13111959"/>
          <a:ext cx="10145" cy="1590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870941</xdr:colOff>
      <xdr:row>67</xdr:row>
      <xdr:rowOff>17298</xdr:rowOff>
    </xdr:from>
    <xdr:to>
      <xdr:col>19</xdr:col>
      <xdr:colOff>870941</xdr:colOff>
      <xdr:row>68</xdr:row>
      <xdr:rowOff>77968</xdr:rowOff>
    </xdr:to>
    <xdr:cxnSp macro="">
      <xdr:nvCxnSpPr>
        <xdr:cNvPr id="137" name="Conector recto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CxnSpPr/>
      </xdr:nvCxnSpPr>
      <xdr:spPr>
        <a:xfrm flipV="1">
          <a:off x="13462526" y="13294219"/>
          <a:ext cx="0" cy="2581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121908</xdr:colOff>
      <xdr:row>54</xdr:row>
      <xdr:rowOff>63131</xdr:rowOff>
    </xdr:from>
    <xdr:to>
      <xdr:col>15</xdr:col>
      <xdr:colOff>121908</xdr:colOff>
      <xdr:row>68</xdr:row>
      <xdr:rowOff>54736</xdr:rowOff>
    </xdr:to>
    <xdr:cxnSp macro="">
      <xdr:nvCxnSpPr>
        <xdr:cNvPr id="138" name="Conector recto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CxnSpPr>
          <a:endCxn id="122" idx="2"/>
        </xdr:cNvCxnSpPr>
      </xdr:nvCxnSpPr>
      <xdr:spPr>
        <a:xfrm flipV="1">
          <a:off x="10285780" y="10772948"/>
          <a:ext cx="0" cy="275617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486283</xdr:colOff>
      <xdr:row>68</xdr:row>
      <xdr:rowOff>54736</xdr:rowOff>
    </xdr:from>
    <xdr:to>
      <xdr:col>16</xdr:col>
      <xdr:colOff>489800</xdr:colOff>
      <xdr:row>69</xdr:row>
      <xdr:rowOff>56327</xdr:rowOff>
    </xdr:to>
    <xdr:cxnSp macro="">
      <xdr:nvCxnSpPr>
        <xdr:cNvPr id="139" name="Conector recto de flecha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CxnSpPr/>
      </xdr:nvCxnSpPr>
      <xdr:spPr>
        <a:xfrm flipH="1">
          <a:off x="11521344" y="13529126"/>
          <a:ext cx="3517" cy="1990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486282</xdr:colOff>
      <xdr:row>71</xdr:row>
      <xdr:rowOff>51361</xdr:rowOff>
    </xdr:from>
    <xdr:to>
      <xdr:col>16</xdr:col>
      <xdr:colOff>486282</xdr:colOff>
      <xdr:row>72</xdr:row>
      <xdr:rowOff>93395</xdr:rowOff>
    </xdr:to>
    <xdr:cxnSp macro="">
      <xdr:nvCxnSpPr>
        <xdr:cNvPr id="140" name="Conector recto de flecha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CxnSpPr>
          <a:stCxn id="135" idx="2"/>
        </xdr:cNvCxnSpPr>
      </xdr:nvCxnSpPr>
      <xdr:spPr>
        <a:xfrm>
          <a:off x="11521343" y="14118160"/>
          <a:ext cx="0" cy="2395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123402</xdr:colOff>
      <xdr:row>72</xdr:row>
      <xdr:rowOff>86012</xdr:rowOff>
    </xdr:from>
    <xdr:to>
      <xdr:col>17</xdr:col>
      <xdr:colOff>279985</xdr:colOff>
      <xdr:row>75</xdr:row>
      <xdr:rowOff>156694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>
          <a:off x="11158463" y="14350280"/>
          <a:ext cx="725760" cy="66309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2800"/>
            <a:t>F</a:t>
          </a:r>
          <a:endParaRPr lang="en-US" sz="2800"/>
        </a:p>
      </xdr:txBody>
    </xdr:sp>
    <xdr:clientData/>
  </xdr:twoCellAnchor>
  <xdr:twoCellAnchor>
    <xdr:from>
      <xdr:col>9</xdr:col>
      <xdr:colOff>76495</xdr:colOff>
      <xdr:row>43</xdr:row>
      <xdr:rowOff>153053</xdr:rowOff>
    </xdr:from>
    <xdr:to>
      <xdr:col>10</xdr:col>
      <xdr:colOff>450182</xdr:colOff>
      <xdr:row>47</xdr:row>
      <xdr:rowOff>105298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>
          <a:off x="6825306" y="8690705"/>
          <a:ext cx="768626" cy="74212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2800"/>
            <a:t>I</a:t>
          </a:r>
          <a:endParaRPr lang="en-US" sz="2800"/>
        </a:p>
      </xdr:txBody>
    </xdr:sp>
    <xdr:clientData/>
  </xdr:twoCellAnchor>
  <xdr:twoCellAnchor>
    <xdr:from>
      <xdr:col>10</xdr:col>
      <xdr:colOff>65869</xdr:colOff>
      <xdr:row>47</xdr:row>
      <xdr:rowOff>105298</xdr:rowOff>
    </xdr:from>
    <xdr:to>
      <xdr:col>10</xdr:col>
      <xdr:colOff>65869</xdr:colOff>
      <xdr:row>49</xdr:row>
      <xdr:rowOff>141052</xdr:rowOff>
    </xdr:to>
    <xdr:cxnSp macro="">
      <xdr:nvCxnSpPr>
        <xdr:cNvPr id="143" name="Conector recto de flecha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CxnSpPr>
          <a:stCxn id="142" idx="4"/>
        </xdr:cNvCxnSpPr>
      </xdr:nvCxnSpPr>
      <xdr:spPr>
        <a:xfrm>
          <a:off x="7209619" y="9432828"/>
          <a:ext cx="0" cy="4306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425804</xdr:colOff>
      <xdr:row>49</xdr:row>
      <xdr:rowOff>144371</xdr:rowOff>
    </xdr:from>
    <xdr:to>
      <xdr:col>11</xdr:col>
      <xdr:colOff>132822</xdr:colOff>
      <xdr:row>51</xdr:row>
      <xdr:rowOff>193379</xdr:rowOff>
    </xdr:to>
    <xdr:sp macro="" textlink="">
      <xdr:nvSpPr>
        <xdr:cNvPr id="144" name="Rectángulo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6442816" y="9866841"/>
          <a:ext cx="1484244" cy="44394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PORCENTAJE</a:t>
          </a:r>
          <a:endParaRPr lang="en-US"/>
        </a:p>
      </xdr:txBody>
    </xdr:sp>
    <xdr:clientData/>
  </xdr:twoCellAnchor>
  <xdr:twoCellAnchor>
    <xdr:from>
      <xdr:col>11</xdr:col>
      <xdr:colOff>153464</xdr:colOff>
      <xdr:row>43</xdr:row>
      <xdr:rowOff>0</xdr:rowOff>
    </xdr:from>
    <xdr:to>
      <xdr:col>15</xdr:col>
      <xdr:colOff>724885</xdr:colOff>
      <xdr:row>47</xdr:row>
      <xdr:rowOff>133452</xdr:rowOff>
    </xdr:to>
    <xdr:sp macro="" textlink="">
      <xdr:nvSpPr>
        <xdr:cNvPr id="145" name="CuadroTexto 70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/>
      </xdr:nvSpPr>
      <xdr:spPr>
        <a:xfrm>
          <a:off x="7947702" y="8537652"/>
          <a:ext cx="2941055" cy="923330"/>
        </a:xfrm>
        <a:prstGeom prst="rect">
          <a:avLst/>
        </a:prstGeom>
        <a:solidFill>
          <a:srgbClr val="FFFF00"/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CO" u="sng"/>
        </a:p>
        <a:p>
          <a:r>
            <a:rPr lang="es-CO" b="1" u="sng"/>
            <a:t>PORCENTAJE DE 0 A 100%</a:t>
          </a:r>
        </a:p>
        <a:p>
          <a:endParaRPr lang="en-US" u="sng"/>
        </a:p>
      </xdr:txBody>
    </xdr:sp>
    <xdr:clientData/>
  </xdr:twoCellAnchor>
  <xdr:twoCellAnchor>
    <xdr:from>
      <xdr:col>10</xdr:col>
      <xdr:colOff>41188</xdr:colOff>
      <xdr:row>51</xdr:row>
      <xdr:rowOff>193379</xdr:rowOff>
    </xdr:from>
    <xdr:to>
      <xdr:col>10</xdr:col>
      <xdr:colOff>41188</xdr:colOff>
      <xdr:row>54</xdr:row>
      <xdr:rowOff>11789</xdr:rowOff>
    </xdr:to>
    <xdr:cxnSp macro="">
      <xdr:nvCxnSpPr>
        <xdr:cNvPr id="146" name="Conector recto de flecha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CxnSpPr>
          <a:stCxn id="144" idx="2"/>
        </xdr:cNvCxnSpPr>
      </xdr:nvCxnSpPr>
      <xdr:spPr>
        <a:xfrm>
          <a:off x="7184938" y="10310788"/>
          <a:ext cx="0" cy="4108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90881</xdr:colOff>
      <xdr:row>54</xdr:row>
      <xdr:rowOff>102870</xdr:rowOff>
    </xdr:from>
    <xdr:to>
      <xdr:col>13</xdr:col>
      <xdr:colOff>34847</xdr:colOff>
      <xdr:row>56</xdr:row>
      <xdr:rowOff>140285</xdr:rowOff>
    </xdr:to>
    <xdr:sp macro="" textlink="">
      <xdr:nvSpPr>
        <xdr:cNvPr id="147" name="Rectángulo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5236704" y="10812687"/>
          <a:ext cx="4032747" cy="43235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PORCENTAJE         INCREMENTO </a:t>
          </a:r>
          <a:endParaRPr lang="en-US"/>
        </a:p>
      </xdr:txBody>
    </xdr:sp>
    <xdr:clientData/>
  </xdr:twoCellAnchor>
  <xdr:twoCellAnchor>
    <xdr:from>
      <xdr:col>9</xdr:col>
      <xdr:colOff>228494</xdr:colOff>
      <xdr:row>54</xdr:row>
      <xdr:rowOff>139286</xdr:rowOff>
    </xdr:from>
    <xdr:to>
      <xdr:col>10</xdr:col>
      <xdr:colOff>318187</xdr:colOff>
      <xdr:row>56</xdr:row>
      <xdr:rowOff>115409</xdr:rowOff>
    </xdr:to>
    <xdr:sp macro="" textlink="">
      <xdr:nvSpPr>
        <xdr:cNvPr id="148" name="Flecha abajo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6977305" y="10849103"/>
          <a:ext cx="484632" cy="371062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12</xdr:col>
      <xdr:colOff>84658</xdr:colOff>
      <xdr:row>54</xdr:row>
      <xdr:rowOff>149265</xdr:rowOff>
    </xdr:from>
    <xdr:to>
      <xdr:col>13</xdr:col>
      <xdr:colOff>113</xdr:colOff>
      <xdr:row>56</xdr:row>
      <xdr:rowOff>125388</xdr:rowOff>
    </xdr:to>
    <xdr:sp macro="" textlink="">
      <xdr:nvSpPr>
        <xdr:cNvPr id="149" name="Flecha abajo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8750085" y="10859082"/>
          <a:ext cx="484632" cy="371062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493483</xdr:colOff>
      <xdr:row>58</xdr:row>
      <xdr:rowOff>179359</xdr:rowOff>
    </xdr:from>
    <xdr:to>
      <xdr:col>13</xdr:col>
      <xdr:colOff>135949</xdr:colOff>
      <xdr:row>60</xdr:row>
      <xdr:rowOff>168732</xdr:rowOff>
    </xdr:to>
    <xdr:sp macro="" textlink="">
      <xdr:nvSpPr>
        <xdr:cNvPr id="150" name="Pentágono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>
          <a:off x="7637233" y="11679054"/>
          <a:ext cx="1733320" cy="384312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193127</xdr:colOff>
      <xdr:row>58</xdr:row>
      <xdr:rowOff>179359</xdr:rowOff>
    </xdr:from>
    <xdr:to>
      <xdr:col>10</xdr:col>
      <xdr:colOff>493483</xdr:colOff>
      <xdr:row>60</xdr:row>
      <xdr:rowOff>168732</xdr:rowOff>
    </xdr:to>
    <xdr:sp macro="" textlink="">
      <xdr:nvSpPr>
        <xdr:cNvPr id="151" name="Rectángulo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6210139" y="11679054"/>
          <a:ext cx="1427094" cy="3843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0</xdr:colOff>
      <xdr:row>58</xdr:row>
      <xdr:rowOff>179359</xdr:rowOff>
    </xdr:from>
    <xdr:to>
      <xdr:col>8</xdr:col>
      <xdr:colOff>399135</xdr:colOff>
      <xdr:row>60</xdr:row>
      <xdr:rowOff>168732</xdr:rowOff>
    </xdr:to>
    <xdr:sp macro="" textlink="">
      <xdr:nvSpPr>
        <xdr:cNvPr id="152" name="Acorde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>
          <a:off x="5145823" y="11679054"/>
          <a:ext cx="1270324" cy="384312"/>
        </a:xfrm>
        <a:prstGeom prst="chord">
          <a:avLst>
            <a:gd name="adj1" fmla="val 2700000"/>
            <a:gd name="adj2" fmla="val 1903527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193127</xdr:colOff>
      <xdr:row>58</xdr:row>
      <xdr:rowOff>179359</xdr:rowOff>
    </xdr:from>
    <xdr:to>
      <xdr:col>10</xdr:col>
      <xdr:colOff>283339</xdr:colOff>
      <xdr:row>60</xdr:row>
      <xdr:rowOff>168732</xdr:rowOff>
    </xdr:to>
    <xdr:sp macro="" textlink="">
      <xdr:nvSpPr>
        <xdr:cNvPr id="153" name="Rectángulo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>
          <a:off x="6210139" y="11679054"/>
          <a:ext cx="1216950" cy="3843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408933</xdr:colOff>
      <xdr:row>58</xdr:row>
      <xdr:rowOff>179359</xdr:rowOff>
    </xdr:from>
    <xdr:to>
      <xdr:col>12</xdr:col>
      <xdr:colOff>399267</xdr:colOff>
      <xdr:row>60</xdr:row>
      <xdr:rowOff>168732</xdr:rowOff>
    </xdr:to>
    <xdr:sp macro="" textlink="">
      <xdr:nvSpPr>
        <xdr:cNvPr id="154" name="Rectángulo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5554756" y="11679054"/>
          <a:ext cx="3509938" cy="3843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“EL PORCENTAJE ES”; INCREMENTO</a:t>
          </a:r>
          <a:endParaRPr lang="en-US"/>
        </a:p>
      </xdr:txBody>
    </xdr:sp>
    <xdr:clientData/>
  </xdr:twoCellAnchor>
  <xdr:twoCellAnchor>
    <xdr:from>
      <xdr:col>10</xdr:col>
      <xdr:colOff>75871</xdr:colOff>
      <xdr:row>56</xdr:row>
      <xdr:rowOff>115409</xdr:rowOff>
    </xdr:from>
    <xdr:to>
      <xdr:col>10</xdr:col>
      <xdr:colOff>75871</xdr:colOff>
      <xdr:row>58</xdr:row>
      <xdr:rowOff>58407</xdr:rowOff>
    </xdr:to>
    <xdr:cxnSp macro="">
      <xdr:nvCxnSpPr>
        <xdr:cNvPr id="155" name="Conector recto de flecha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CxnSpPr>
          <a:stCxn id="148" idx="2"/>
        </xdr:cNvCxnSpPr>
      </xdr:nvCxnSpPr>
      <xdr:spPr>
        <a:xfrm>
          <a:off x="7219621" y="11220165"/>
          <a:ext cx="0" cy="337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41023</xdr:colOff>
      <xdr:row>60</xdr:row>
      <xdr:rowOff>168732</xdr:rowOff>
    </xdr:from>
    <xdr:to>
      <xdr:col>10</xdr:col>
      <xdr:colOff>41023</xdr:colOff>
      <xdr:row>62</xdr:row>
      <xdr:rowOff>159779</xdr:rowOff>
    </xdr:to>
    <xdr:cxnSp macro="">
      <xdr:nvCxnSpPr>
        <xdr:cNvPr id="156" name="Conector recto de flecha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CxnSpPr/>
      </xdr:nvCxnSpPr>
      <xdr:spPr>
        <a:xfrm>
          <a:off x="7184773" y="12063366"/>
          <a:ext cx="0" cy="3859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111672</xdr:colOff>
      <xdr:row>63</xdr:row>
      <xdr:rowOff>25891</xdr:rowOff>
    </xdr:from>
    <xdr:to>
      <xdr:col>10</xdr:col>
      <xdr:colOff>365312</xdr:colOff>
      <xdr:row>66</xdr:row>
      <xdr:rowOff>74943</xdr:rowOff>
    </xdr:to>
    <xdr:sp macro="" textlink="">
      <xdr:nvSpPr>
        <xdr:cNvPr id="157" name="Elipse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>
          <a:off x="6860483" y="12512934"/>
          <a:ext cx="648579" cy="6414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2800"/>
            <a:t>F</a:t>
          </a:r>
          <a:endParaRPr lang="en-US" sz="2800"/>
        </a:p>
      </xdr:txBody>
    </xdr:sp>
    <xdr:clientData/>
  </xdr:twoCellAnchor>
  <xdr:twoCellAnchor>
    <xdr:from>
      <xdr:col>16</xdr:col>
      <xdr:colOff>429787</xdr:colOff>
      <xdr:row>67</xdr:row>
      <xdr:rowOff>0</xdr:rowOff>
    </xdr:from>
    <xdr:to>
      <xdr:col>21</xdr:col>
      <xdr:colOff>313629</xdr:colOff>
      <xdr:row>67</xdr:row>
      <xdr:rowOff>0</xdr:rowOff>
    </xdr:to>
    <xdr:cxnSp macro="">
      <xdr:nvCxnSpPr>
        <xdr:cNvPr id="160" name="Conector recto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CxnSpPr/>
      </xdr:nvCxnSpPr>
      <xdr:spPr>
        <a:xfrm flipH="1">
          <a:off x="11464848" y="13276921"/>
          <a:ext cx="27181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496424</xdr:colOff>
      <xdr:row>59</xdr:row>
      <xdr:rowOff>89577</xdr:rowOff>
    </xdr:from>
    <xdr:to>
      <xdr:col>16</xdr:col>
      <xdr:colOff>511098</xdr:colOff>
      <xdr:row>66</xdr:row>
      <xdr:rowOff>174238</xdr:rowOff>
    </xdr:to>
    <xdr:cxnSp macro="">
      <xdr:nvCxnSpPr>
        <xdr:cNvPr id="163" name="Conector recto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CxnSpPr>
          <a:endCxn id="125" idx="2"/>
        </xdr:cNvCxnSpPr>
      </xdr:nvCxnSpPr>
      <xdr:spPr>
        <a:xfrm flipH="1" flipV="1">
          <a:off x="11531485" y="11786742"/>
          <a:ext cx="14674" cy="14669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1083469</xdr:colOff>
      <xdr:row>63</xdr:row>
      <xdr:rowOff>237375</xdr:rowOff>
    </xdr:from>
    <xdr:to>
      <xdr:col>10</xdr:col>
      <xdr:colOff>916781</xdr:colOff>
      <xdr:row>85</xdr:row>
      <xdr:rowOff>71019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98669" y="15772650"/>
              <a:ext cx="4891087" cy="52438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8</xdr:col>
      <xdr:colOff>1777164</xdr:colOff>
      <xdr:row>73</xdr:row>
      <xdr:rowOff>31320</xdr:rowOff>
    </xdr:from>
    <xdr:to>
      <xdr:col>9</xdr:col>
      <xdr:colOff>889000</xdr:colOff>
      <xdr:row>75</xdr:row>
      <xdr:rowOff>18764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190914" y="18319320"/>
          <a:ext cx="1000961" cy="4954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CC0000"/>
              </a:solidFill>
            </a:rPr>
            <a:t>MEDIA</a:t>
          </a:r>
        </a:p>
      </xdr:txBody>
    </xdr:sp>
    <xdr:clientData/>
  </xdr:twoCellAnchor>
  <xdr:twoCellAnchor>
    <xdr:from>
      <xdr:col>9</xdr:col>
      <xdr:colOff>2313763</xdr:colOff>
      <xdr:row>73</xdr:row>
      <xdr:rowOff>102800</xdr:rowOff>
    </xdr:from>
    <xdr:to>
      <xdr:col>10</xdr:col>
      <xdr:colOff>874413</xdr:colOff>
      <xdr:row>74</xdr:row>
      <xdr:rowOff>129946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5755919" y="18200300"/>
          <a:ext cx="918088" cy="277177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MEDIANA</a:t>
          </a:r>
        </a:p>
      </xdr:txBody>
    </xdr:sp>
    <xdr:clientData/>
  </xdr:twoCellAnchor>
  <xdr:twoCellAnchor>
    <xdr:from>
      <xdr:col>9</xdr:col>
      <xdr:colOff>2078565</xdr:colOff>
      <xdr:row>76</xdr:row>
      <xdr:rowOff>175801</xdr:rowOff>
    </xdr:from>
    <xdr:to>
      <xdr:col>10</xdr:col>
      <xdr:colOff>858290</xdr:colOff>
      <xdr:row>78</xdr:row>
      <xdr:rowOff>142874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2381440" y="19225801"/>
          <a:ext cx="859350" cy="47507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1ER CUARTIL</a:t>
          </a:r>
        </a:p>
      </xdr:txBody>
    </xdr:sp>
    <xdr:clientData/>
  </xdr:twoCellAnchor>
  <xdr:twoCellAnchor>
    <xdr:from>
      <xdr:col>9</xdr:col>
      <xdr:colOff>2073610</xdr:colOff>
      <xdr:row>69</xdr:row>
      <xdr:rowOff>95250</xdr:rowOff>
    </xdr:from>
    <xdr:to>
      <xdr:col>10</xdr:col>
      <xdr:colOff>805710</xdr:colOff>
      <xdr:row>71</xdr:row>
      <xdr:rowOff>20356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2376485" y="17367250"/>
          <a:ext cx="811725" cy="43310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3ER CUARTIL</a:t>
          </a:r>
        </a:p>
      </xdr:txBody>
    </xdr:sp>
    <xdr:clientData/>
  </xdr:twoCellAnchor>
  <xdr:twoCellAnchor>
    <xdr:from>
      <xdr:col>9</xdr:col>
      <xdr:colOff>611266</xdr:colOff>
      <xdr:row>77</xdr:row>
      <xdr:rowOff>215727</xdr:rowOff>
    </xdr:from>
    <xdr:to>
      <xdr:col>9</xdr:col>
      <xdr:colOff>1526590</xdr:colOff>
      <xdr:row>80</xdr:row>
      <xdr:rowOff>6916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4053422" y="19313352"/>
          <a:ext cx="915324" cy="54128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EXTREMO INFERIOR</a:t>
          </a:r>
        </a:p>
      </xdr:txBody>
    </xdr:sp>
    <xdr:clientData/>
  </xdr:twoCellAnchor>
  <xdr:twoCellAnchor>
    <xdr:from>
      <xdr:col>8</xdr:col>
      <xdr:colOff>1495049</xdr:colOff>
      <xdr:row>68</xdr:row>
      <xdr:rowOff>124651</xdr:rowOff>
    </xdr:from>
    <xdr:to>
      <xdr:col>9</xdr:col>
      <xdr:colOff>521248</xdr:colOff>
      <xdr:row>70</xdr:row>
      <xdr:rowOff>150598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9908799" y="17142651"/>
          <a:ext cx="915324" cy="533947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EXTREMO SUPERIOR</a:t>
          </a:r>
        </a:p>
      </xdr:txBody>
    </xdr:sp>
    <xdr:clientData/>
  </xdr:twoCellAnchor>
  <xdr:twoCellAnchor>
    <xdr:from>
      <xdr:col>6</xdr:col>
      <xdr:colOff>249529</xdr:colOff>
      <xdr:row>12</xdr:row>
      <xdr:rowOff>120739</xdr:rowOff>
    </xdr:from>
    <xdr:to>
      <xdr:col>9</xdr:col>
      <xdr:colOff>2039155</xdr:colOff>
      <xdr:row>35</xdr:row>
      <xdr:rowOff>222250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67078</xdr:colOff>
      <xdr:row>12</xdr:row>
      <xdr:rowOff>93908</xdr:rowOff>
    </xdr:from>
    <xdr:to>
      <xdr:col>12</xdr:col>
      <xdr:colOff>1556197</xdr:colOff>
      <xdr:row>35</xdr:row>
      <xdr:rowOff>174402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1128020</xdr:colOff>
      <xdr:row>36</xdr:row>
      <xdr:rowOff>105444</xdr:rowOff>
    </xdr:from>
    <xdr:to>
      <xdr:col>11</xdr:col>
      <xdr:colOff>730250</xdr:colOff>
      <xdr:row>60</xdr:row>
      <xdr:rowOff>95250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713186</xdr:colOff>
      <xdr:row>0</xdr:row>
      <xdr:rowOff>30125</xdr:rowOff>
    </xdr:from>
    <xdr:to>
      <xdr:col>33</xdr:col>
      <xdr:colOff>789161</xdr:colOff>
      <xdr:row>23</xdr:row>
      <xdr:rowOff>183816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53661</xdr:colOff>
      <xdr:row>50</xdr:row>
      <xdr:rowOff>16711</xdr:rowOff>
    </xdr:from>
    <xdr:to>
      <xdr:col>20</xdr:col>
      <xdr:colOff>952500</xdr:colOff>
      <xdr:row>66</xdr:row>
      <xdr:rowOff>40246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158629</xdr:colOff>
      <xdr:row>0</xdr:row>
      <xdr:rowOff>0</xdr:rowOff>
    </xdr:from>
    <xdr:to>
      <xdr:col>42</xdr:col>
      <xdr:colOff>598045</xdr:colOff>
      <xdr:row>24</xdr:row>
      <xdr:rowOff>19932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373929" y="0"/>
              <a:ext cx="6535416" cy="60302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37</xdr:col>
      <xdr:colOff>706550</xdr:colOff>
      <xdr:row>9</xdr:row>
      <xdr:rowOff>147335</xdr:rowOff>
    </xdr:from>
    <xdr:to>
      <xdr:col>38</xdr:col>
      <xdr:colOff>670803</xdr:colOff>
      <xdr:row>11</xdr:row>
      <xdr:rowOff>4000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4414182" y="2269572"/>
          <a:ext cx="732937" cy="3579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MEDIA</a:t>
          </a:r>
        </a:p>
      </xdr:txBody>
    </xdr:sp>
    <xdr:clientData/>
  </xdr:twoCellAnchor>
  <xdr:twoCellAnchor>
    <xdr:from>
      <xdr:col>40</xdr:col>
      <xdr:colOff>659947</xdr:colOff>
      <xdr:row>9</xdr:row>
      <xdr:rowOff>184050</xdr:rowOff>
    </xdr:from>
    <xdr:to>
      <xdr:col>41</xdr:col>
      <xdr:colOff>647238</xdr:colOff>
      <xdr:row>10</xdr:row>
      <xdr:rowOff>184049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6673631" y="2306287"/>
          <a:ext cx="755975" cy="2506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MEDIANA</a:t>
          </a:r>
        </a:p>
      </xdr:txBody>
    </xdr:sp>
    <xdr:clientData/>
  </xdr:twoCellAnchor>
  <xdr:twoCellAnchor>
    <xdr:from>
      <xdr:col>38</xdr:col>
      <xdr:colOff>747503</xdr:colOff>
      <xdr:row>2</xdr:row>
      <xdr:rowOff>50365</xdr:rowOff>
    </xdr:from>
    <xdr:to>
      <xdr:col>40</xdr:col>
      <xdr:colOff>394698</xdr:colOff>
      <xdr:row>4</xdr:row>
      <xdr:rowOff>90377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5223819" y="484839"/>
          <a:ext cx="1184563" cy="4744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EXTREMO SUPERIOR</a:t>
          </a:r>
        </a:p>
      </xdr:txBody>
    </xdr:sp>
    <xdr:clientData/>
  </xdr:twoCellAnchor>
  <xdr:twoCellAnchor>
    <xdr:from>
      <xdr:col>39</xdr:col>
      <xdr:colOff>244065</xdr:colOff>
      <xdr:row>16</xdr:row>
      <xdr:rowOff>171107</xdr:rowOff>
    </xdr:from>
    <xdr:to>
      <xdr:col>40</xdr:col>
      <xdr:colOff>389781</xdr:colOff>
      <xdr:row>18</xdr:row>
      <xdr:rowOff>130860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55489065" y="3947686"/>
          <a:ext cx="914400" cy="46106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EXTREMO INFERIOR</a:t>
          </a:r>
        </a:p>
      </xdr:txBody>
    </xdr:sp>
    <xdr:clientData/>
  </xdr:twoCellAnchor>
  <xdr:twoCellAnchor>
    <xdr:from>
      <xdr:col>15</xdr:col>
      <xdr:colOff>39221</xdr:colOff>
      <xdr:row>67</xdr:row>
      <xdr:rowOff>29136</xdr:rowOff>
    </xdr:from>
    <xdr:to>
      <xdr:col>20</xdr:col>
      <xdr:colOff>924486</xdr:colOff>
      <xdr:row>83</xdr:row>
      <xdr:rowOff>224118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180975</xdr:colOff>
      <xdr:row>0</xdr:row>
      <xdr:rowOff>57150</xdr:rowOff>
    </xdr:from>
    <xdr:to>
      <xdr:col>24</xdr:col>
      <xdr:colOff>180975</xdr:colOff>
      <xdr:row>8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190500</xdr:colOff>
      <xdr:row>9</xdr:row>
      <xdr:rowOff>190500</xdr:rowOff>
    </xdr:from>
    <xdr:to>
      <xdr:col>24</xdr:col>
      <xdr:colOff>190500</xdr:colOff>
      <xdr:row>19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180974</xdr:colOff>
      <xdr:row>19</xdr:row>
      <xdr:rowOff>180975</xdr:rowOff>
    </xdr:from>
    <xdr:to>
      <xdr:col>24</xdr:col>
      <xdr:colOff>228599</xdr:colOff>
      <xdr:row>28</xdr:row>
      <xdr:rowOff>190500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190499</xdr:colOff>
      <xdr:row>29</xdr:row>
      <xdr:rowOff>161925</xdr:rowOff>
    </xdr:from>
    <xdr:to>
      <xdr:col>24</xdr:col>
      <xdr:colOff>238124</xdr:colOff>
      <xdr:row>38</xdr:row>
      <xdr:rowOff>190500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71438</xdr:colOff>
      <xdr:row>48</xdr:row>
      <xdr:rowOff>30956</xdr:rowOff>
    </xdr:from>
    <xdr:to>
      <xdr:col>23</xdr:col>
      <xdr:colOff>38100</xdr:colOff>
      <xdr:row>73</xdr:row>
      <xdr:rowOff>178593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38099</xdr:rowOff>
    </xdr:from>
    <xdr:to>
      <xdr:col>13</xdr:col>
      <xdr:colOff>123825</xdr:colOff>
      <xdr:row>17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304800</xdr:colOff>
      <xdr:row>18</xdr:row>
      <xdr:rowOff>123825</xdr:rowOff>
    </xdr:from>
    <xdr:to>
      <xdr:col>13</xdr:col>
      <xdr:colOff>104775</xdr:colOff>
      <xdr:row>35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276225</xdr:colOff>
      <xdr:row>37</xdr:row>
      <xdr:rowOff>171449</xdr:rowOff>
    </xdr:from>
    <xdr:to>
      <xdr:col>13</xdr:col>
      <xdr:colOff>95250</xdr:colOff>
      <xdr:row>54</xdr:row>
      <xdr:rowOff>180974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228600</xdr:colOff>
      <xdr:row>57</xdr:row>
      <xdr:rowOff>19049</xdr:rowOff>
    </xdr:from>
    <xdr:to>
      <xdr:col>13</xdr:col>
      <xdr:colOff>66675</xdr:colOff>
      <xdr:row>73</xdr:row>
      <xdr:rowOff>180974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0</xdr:row>
      <xdr:rowOff>190499</xdr:rowOff>
    </xdr:from>
    <xdr:to>
      <xdr:col>7</xdr:col>
      <xdr:colOff>749300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218109</xdr:colOff>
      <xdr:row>0</xdr:row>
      <xdr:rowOff>188291</xdr:rowOff>
    </xdr:from>
    <xdr:to>
      <xdr:col>15</xdr:col>
      <xdr:colOff>673100</xdr:colOff>
      <xdr:row>17</xdr:row>
      <xdr:rowOff>553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190499</xdr:rowOff>
    </xdr:from>
    <xdr:to>
      <xdr:col>8</xdr:col>
      <xdr:colOff>63500</xdr:colOff>
      <xdr:row>34</xdr:row>
      <xdr:rowOff>19050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241300</xdr:colOff>
      <xdr:row>17</xdr:row>
      <xdr:rowOff>165099</xdr:rowOff>
    </xdr:from>
    <xdr:to>
      <xdr:col>15</xdr:col>
      <xdr:colOff>698500</xdr:colOff>
      <xdr:row>33</xdr:row>
      <xdr:rowOff>155574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0</xdr:row>
      <xdr:rowOff>47624</xdr:rowOff>
    </xdr:from>
    <xdr:to>
      <xdr:col>8</xdr:col>
      <xdr:colOff>323849</xdr:colOff>
      <xdr:row>13</xdr:row>
      <xdr:rowOff>57149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200025</xdr:colOff>
      <xdr:row>14</xdr:row>
      <xdr:rowOff>9525</xdr:rowOff>
    </xdr:from>
    <xdr:to>
      <xdr:col>8</xdr:col>
      <xdr:colOff>304800</xdr:colOff>
      <xdr:row>25</xdr:row>
      <xdr:rowOff>104775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</xdr:colOff>
      <xdr:row>26</xdr:row>
      <xdr:rowOff>57150</xdr:rowOff>
    </xdr:from>
    <xdr:to>
      <xdr:col>8</xdr:col>
      <xdr:colOff>266700</xdr:colOff>
      <xdr:row>37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152400</xdr:colOff>
      <xdr:row>38</xdr:row>
      <xdr:rowOff>76200</xdr:rowOff>
    </xdr:from>
    <xdr:to>
      <xdr:col>8</xdr:col>
      <xdr:colOff>276225</xdr:colOff>
      <xdr:row>50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0</xdr:row>
      <xdr:rowOff>66675</xdr:rowOff>
    </xdr:from>
    <xdr:to>
      <xdr:col>9</xdr:col>
      <xdr:colOff>400050</xdr:colOff>
      <xdr:row>12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114300</xdr:colOff>
      <xdr:row>13</xdr:row>
      <xdr:rowOff>66676</xdr:rowOff>
    </xdr:from>
    <xdr:to>
      <xdr:col>9</xdr:col>
      <xdr:colOff>419100</xdr:colOff>
      <xdr:row>26</xdr:row>
      <xdr:rowOff>66676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133349</xdr:colOff>
      <xdr:row>26</xdr:row>
      <xdr:rowOff>133350</xdr:rowOff>
    </xdr:from>
    <xdr:to>
      <xdr:col>9</xdr:col>
      <xdr:colOff>409574</xdr:colOff>
      <xdr:row>39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152399</xdr:colOff>
      <xdr:row>40</xdr:row>
      <xdr:rowOff>19050</xdr:rowOff>
    </xdr:from>
    <xdr:to>
      <xdr:col>9</xdr:col>
      <xdr:colOff>390524</xdr:colOff>
      <xdr:row>54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669193</xdr:colOff>
      <xdr:row>46</xdr:row>
      <xdr:rowOff>20515</xdr:rowOff>
    </xdr:from>
    <xdr:to>
      <xdr:col>19</xdr:col>
      <xdr:colOff>805962</xdr:colOff>
      <xdr:row>65</xdr:row>
      <xdr:rowOff>73268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0</xdr:row>
      <xdr:rowOff>47624</xdr:rowOff>
    </xdr:from>
    <xdr:to>
      <xdr:col>10</xdr:col>
      <xdr:colOff>514350</xdr:colOff>
      <xdr:row>13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104774</xdr:colOff>
      <xdr:row>13</xdr:row>
      <xdr:rowOff>171451</xdr:rowOff>
    </xdr:from>
    <xdr:to>
      <xdr:col>10</xdr:col>
      <xdr:colOff>495299</xdr:colOff>
      <xdr:row>28</xdr:row>
      <xdr:rowOff>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123825</xdr:colOff>
      <xdr:row>29</xdr:row>
      <xdr:rowOff>9525</xdr:rowOff>
    </xdr:from>
    <xdr:to>
      <xdr:col>10</xdr:col>
      <xdr:colOff>504825</xdr:colOff>
      <xdr:row>43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104774</xdr:colOff>
      <xdr:row>43</xdr:row>
      <xdr:rowOff>152400</xdr:rowOff>
    </xdr:from>
    <xdr:to>
      <xdr:col>10</xdr:col>
      <xdr:colOff>533399</xdr:colOff>
      <xdr:row>58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492125</xdr:colOff>
      <xdr:row>54</xdr:row>
      <xdr:rowOff>158751</xdr:rowOff>
    </xdr:from>
    <xdr:to>
      <xdr:col>20</xdr:col>
      <xdr:colOff>737054</xdr:colOff>
      <xdr:row>77</xdr:row>
      <xdr:rowOff>11340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6"/>
  <sheetViews>
    <sheetView topLeftCell="A58" zoomScale="50" zoomScaleNormal="50" workbookViewId="0">
      <selection activeCell="H51" sqref="H51"/>
    </sheetView>
  </sheetViews>
  <sheetFormatPr baseColWidth="10" defaultRowHeight="14.25" x14ac:dyDescent="0.2"/>
  <cols>
    <col min="1" max="1" width="11.42578125" style="1"/>
    <col min="2" max="2" width="16.140625" style="1" customWidth="1"/>
    <col min="3" max="3" width="24" style="1" customWidth="1"/>
    <col min="4" max="5" width="11.42578125" style="1"/>
    <col min="6" max="6" width="29.42578125" style="1" customWidth="1"/>
    <col min="7" max="7" width="22.85546875" style="1" customWidth="1"/>
    <col min="8" max="8" width="35.42578125" style="1" customWidth="1"/>
    <col min="9" max="9" width="39" style="1" customWidth="1"/>
    <col min="10" max="10" width="17.5703125" style="1" customWidth="1"/>
    <col min="11" max="11" width="17.42578125" style="1" customWidth="1"/>
    <col min="12" max="12" width="11.42578125" style="1"/>
    <col min="13" max="13" width="26.5703125" style="1" customWidth="1"/>
    <col min="14" max="14" width="19.7109375" style="1" customWidth="1"/>
    <col min="15" max="15" width="13.42578125" style="1" customWidth="1"/>
    <col min="16" max="16" width="14.42578125" style="1" customWidth="1"/>
    <col min="17" max="21" width="11.42578125" style="1"/>
    <col min="22" max="22" width="17.140625" style="1" customWidth="1"/>
    <col min="23" max="23" width="14.85546875" style="1" customWidth="1"/>
    <col min="24" max="16384" width="11.42578125" style="1"/>
  </cols>
  <sheetData>
    <row r="1" spans="2:23" ht="15" customHeight="1" x14ac:dyDescent="0.2">
      <c r="B1" s="439" t="s">
        <v>0</v>
      </c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1"/>
    </row>
    <row r="2" spans="2:23" ht="14.25" customHeight="1" x14ac:dyDescent="0.2">
      <c r="B2" s="442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4"/>
    </row>
    <row r="3" spans="2:23" ht="14.25" customHeight="1" thickBot="1" x14ac:dyDescent="0.25">
      <c r="B3" s="445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7"/>
    </row>
    <row r="4" spans="2:23" ht="14.25" customHeight="1" x14ac:dyDescent="0.2">
      <c r="B4" s="350" t="s">
        <v>1</v>
      </c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2"/>
    </row>
    <row r="5" spans="2:23" ht="15" customHeight="1" thickBot="1" x14ac:dyDescent="0.25">
      <c r="B5" s="353"/>
      <c r="C5" s="354"/>
      <c r="D5" s="354"/>
      <c r="E5" s="354"/>
      <c r="F5" s="354"/>
      <c r="G5" s="354"/>
      <c r="H5" s="354"/>
      <c r="I5" s="354"/>
      <c r="J5" s="354"/>
      <c r="K5" s="354"/>
      <c r="L5" s="354"/>
      <c r="M5" s="354"/>
      <c r="N5" s="354"/>
      <c r="O5" s="354"/>
      <c r="P5" s="355"/>
    </row>
    <row r="6" spans="2:23" s="17" customFormat="1" ht="28.5" thickBot="1" x14ac:dyDescent="0.45">
      <c r="B6" s="404" t="s">
        <v>2</v>
      </c>
      <c r="C6" s="405"/>
      <c r="D6" s="405"/>
      <c r="E6" s="405"/>
      <c r="F6" s="405" t="s">
        <v>3</v>
      </c>
      <c r="G6" s="405"/>
      <c r="H6" s="405"/>
      <c r="I6" s="405"/>
      <c r="J6" s="405" t="s">
        <v>4</v>
      </c>
      <c r="K6" s="405"/>
      <c r="L6" s="405"/>
      <c r="M6" s="406"/>
    </row>
    <row r="7" spans="2:23" ht="21" thickBot="1" x14ac:dyDescent="0.35">
      <c r="B7" s="303"/>
      <c r="C7" s="304"/>
      <c r="D7" s="304"/>
      <c r="E7" s="305"/>
      <c r="F7" s="306" t="s">
        <v>83</v>
      </c>
      <c r="G7" s="307"/>
      <c r="H7" s="307"/>
      <c r="I7" s="308"/>
      <c r="J7" s="306" t="s">
        <v>13</v>
      </c>
      <c r="K7" s="307"/>
      <c r="L7" s="307"/>
      <c r="M7" s="374"/>
    </row>
    <row r="8" spans="2:23" ht="18" x14ac:dyDescent="0.25">
      <c r="B8" s="375" t="s">
        <v>84</v>
      </c>
      <c r="C8" s="376"/>
      <c r="D8" s="376"/>
      <c r="E8" s="377"/>
      <c r="F8" s="317" t="s">
        <v>5</v>
      </c>
      <c r="G8" s="317"/>
      <c r="H8" s="317"/>
      <c r="I8" s="317"/>
      <c r="J8" s="317" t="s">
        <v>14</v>
      </c>
      <c r="K8" s="317"/>
      <c r="L8" s="317"/>
      <c r="M8" s="317"/>
    </row>
    <row r="9" spans="2:23" ht="18" x14ac:dyDescent="0.25">
      <c r="B9" s="375"/>
      <c r="C9" s="376"/>
      <c r="D9" s="376"/>
      <c r="E9" s="377"/>
      <c r="F9" s="309" t="s">
        <v>31</v>
      </c>
      <c r="G9" s="309"/>
      <c r="H9" s="309"/>
      <c r="I9" s="309"/>
      <c r="J9" s="309" t="s">
        <v>15</v>
      </c>
      <c r="K9" s="309"/>
      <c r="L9" s="309"/>
      <c r="M9" s="309"/>
    </row>
    <row r="10" spans="2:23" ht="18.75" thickBot="1" x14ac:dyDescent="0.3">
      <c r="B10" s="375"/>
      <c r="C10" s="376"/>
      <c r="D10" s="376"/>
      <c r="E10" s="377"/>
      <c r="F10" s="309" t="s">
        <v>7</v>
      </c>
      <c r="G10" s="309"/>
      <c r="H10" s="309"/>
      <c r="I10" s="309"/>
      <c r="J10" s="316" t="s">
        <v>399</v>
      </c>
      <c r="K10" s="316"/>
      <c r="L10" s="316"/>
      <c r="M10" s="316"/>
    </row>
    <row r="11" spans="2:23" ht="18" x14ac:dyDescent="0.25">
      <c r="B11" s="375"/>
      <c r="C11" s="376"/>
      <c r="D11" s="376"/>
      <c r="E11" s="377"/>
      <c r="F11" s="309" t="s">
        <v>8</v>
      </c>
      <c r="G11" s="309"/>
      <c r="H11" s="309"/>
      <c r="I11" s="309"/>
      <c r="J11" s="309" t="s">
        <v>28</v>
      </c>
      <c r="K11" s="309"/>
      <c r="L11" s="309"/>
      <c r="M11" s="309"/>
      <c r="O11" s="395" t="s">
        <v>78</v>
      </c>
      <c r="P11" s="396"/>
      <c r="Q11" s="396"/>
      <c r="R11" s="397"/>
    </row>
    <row r="12" spans="2:23" ht="18.75" thickBot="1" x14ac:dyDescent="0.3">
      <c r="B12" s="378"/>
      <c r="C12" s="379"/>
      <c r="D12" s="379"/>
      <c r="E12" s="380"/>
      <c r="F12" s="309" t="s">
        <v>9</v>
      </c>
      <c r="G12" s="309"/>
      <c r="H12" s="309"/>
      <c r="I12" s="309"/>
      <c r="J12" s="309" t="s">
        <v>16</v>
      </c>
      <c r="K12" s="309"/>
      <c r="L12" s="309"/>
      <c r="M12" s="309"/>
      <c r="O12" s="398"/>
      <c r="P12" s="399"/>
      <c r="Q12" s="399"/>
      <c r="R12" s="400"/>
      <c r="S12" s="2"/>
      <c r="T12" s="2"/>
      <c r="U12" s="2"/>
      <c r="V12" s="2"/>
      <c r="W12" s="2"/>
    </row>
    <row r="13" spans="2:23" ht="18.75" customHeight="1" thickBot="1" x14ac:dyDescent="0.3">
      <c r="B13" s="394" t="s">
        <v>17</v>
      </c>
      <c r="C13" s="394"/>
      <c r="D13" s="394"/>
      <c r="E13" s="394"/>
      <c r="F13" s="315" t="s">
        <v>10</v>
      </c>
      <c r="G13" s="309"/>
      <c r="H13" s="309"/>
      <c r="I13" s="309"/>
      <c r="J13" s="309" t="s">
        <v>29</v>
      </c>
      <c r="K13" s="309"/>
      <c r="L13" s="309"/>
      <c r="M13" s="309"/>
      <c r="O13" s="401"/>
      <c r="P13" s="402"/>
      <c r="Q13" s="402"/>
      <c r="R13" s="403"/>
      <c r="S13" s="2"/>
      <c r="T13" s="2"/>
      <c r="U13" s="2"/>
      <c r="V13" s="310" t="s">
        <v>75</v>
      </c>
      <c r="W13" s="311"/>
    </row>
    <row r="14" spans="2:23" ht="18.75" customHeight="1" thickBot="1" x14ac:dyDescent="0.3">
      <c r="B14" s="394"/>
      <c r="C14" s="394"/>
      <c r="D14" s="394"/>
      <c r="E14" s="394"/>
      <c r="F14" s="315" t="s">
        <v>11</v>
      </c>
      <c r="G14" s="309"/>
      <c r="H14" s="309"/>
      <c r="I14" s="309"/>
      <c r="J14" s="309" t="s">
        <v>27</v>
      </c>
      <c r="K14" s="309"/>
      <c r="L14" s="309"/>
      <c r="M14" s="309"/>
      <c r="O14" s="466" t="s">
        <v>58</v>
      </c>
      <c r="P14" s="467"/>
      <c r="Q14" s="467"/>
      <c r="R14" s="468"/>
      <c r="S14" s="323" t="s">
        <v>73</v>
      </c>
      <c r="T14" s="324"/>
      <c r="U14" s="324"/>
      <c r="V14" s="312" t="s">
        <v>107</v>
      </c>
      <c r="W14" s="313"/>
    </row>
    <row r="15" spans="2:23" ht="18.75" customHeight="1" thickBot="1" x14ac:dyDescent="0.3">
      <c r="B15" s="394"/>
      <c r="C15" s="394"/>
      <c r="D15" s="394"/>
      <c r="E15" s="394"/>
      <c r="F15" s="315" t="s">
        <v>12</v>
      </c>
      <c r="G15" s="309"/>
      <c r="H15" s="309"/>
      <c r="I15" s="309"/>
      <c r="J15" s="309"/>
      <c r="K15" s="309"/>
      <c r="L15" s="309"/>
      <c r="M15" s="309"/>
      <c r="O15" s="469"/>
      <c r="P15" s="470"/>
      <c r="Q15" s="470"/>
      <c r="R15" s="471"/>
      <c r="S15" s="2"/>
      <c r="T15" s="2"/>
      <c r="U15" s="2"/>
      <c r="V15" s="15"/>
      <c r="W15" s="15"/>
    </row>
    <row r="16" spans="2:23" ht="18.75" customHeight="1" thickBot="1" x14ac:dyDescent="0.3">
      <c r="B16" s="394"/>
      <c r="C16" s="394"/>
      <c r="D16" s="394"/>
      <c r="E16" s="394"/>
      <c r="F16" s="325" t="s">
        <v>398</v>
      </c>
      <c r="G16" s="316"/>
      <c r="H16" s="316"/>
      <c r="I16" s="316"/>
      <c r="J16" s="309"/>
      <c r="K16" s="309"/>
      <c r="L16" s="309"/>
      <c r="M16" s="309"/>
      <c r="O16" s="469"/>
      <c r="P16" s="470"/>
      <c r="Q16" s="470"/>
      <c r="R16" s="471"/>
      <c r="S16" s="323" t="s">
        <v>74</v>
      </c>
      <c r="T16" s="324"/>
      <c r="U16" s="324"/>
      <c r="V16" s="310" t="s">
        <v>76</v>
      </c>
      <c r="W16" s="311"/>
    </row>
    <row r="17" spans="2:23" ht="21" customHeight="1" thickBot="1" x14ac:dyDescent="0.3">
      <c r="B17" s="394"/>
      <c r="C17" s="394"/>
      <c r="D17" s="394"/>
      <c r="E17" s="394"/>
      <c r="F17" s="309" t="s">
        <v>21</v>
      </c>
      <c r="G17" s="309"/>
      <c r="H17" s="309"/>
      <c r="I17" s="309"/>
      <c r="J17" s="309"/>
      <c r="K17" s="309"/>
      <c r="L17" s="309"/>
      <c r="M17" s="309"/>
      <c r="O17" s="469"/>
      <c r="P17" s="470"/>
      <c r="Q17" s="470"/>
      <c r="R17" s="471"/>
      <c r="S17" s="2"/>
      <c r="T17" s="2"/>
      <c r="U17" s="2"/>
      <c r="V17" s="312" t="s">
        <v>77</v>
      </c>
      <c r="W17" s="313"/>
    </row>
    <row r="18" spans="2:23" ht="15.75" customHeight="1" thickBot="1" x14ac:dyDescent="0.25">
      <c r="O18" s="472"/>
      <c r="P18" s="473"/>
      <c r="Q18" s="470"/>
      <c r="R18" s="471"/>
      <c r="V18" s="314"/>
      <c r="W18" s="314"/>
    </row>
    <row r="19" spans="2:23" x14ac:dyDescent="0.2">
      <c r="B19" s="381" t="s">
        <v>18</v>
      </c>
      <c r="C19" s="382"/>
      <c r="D19" s="383"/>
      <c r="E19" s="363" t="s">
        <v>6</v>
      </c>
      <c r="F19" s="363"/>
      <c r="G19" s="364"/>
      <c r="M19" s="486" t="s">
        <v>59</v>
      </c>
      <c r="N19" s="487"/>
      <c r="O19" s="488"/>
      <c r="P19" s="489"/>
      <c r="Q19" s="457" t="s">
        <v>71</v>
      </c>
      <c r="R19" s="458"/>
      <c r="S19" s="458"/>
      <c r="T19" s="459"/>
    </row>
    <row r="20" spans="2:23" ht="15" thickBot="1" x14ac:dyDescent="0.25">
      <c r="B20" s="384"/>
      <c r="C20" s="385"/>
      <c r="D20" s="386"/>
      <c r="E20" s="366"/>
      <c r="F20" s="366"/>
      <c r="G20" s="367"/>
      <c r="M20" s="490"/>
      <c r="N20" s="488"/>
      <c r="O20" s="488"/>
      <c r="P20" s="489"/>
      <c r="Q20" s="460"/>
      <c r="R20" s="461"/>
      <c r="S20" s="461"/>
      <c r="T20" s="462"/>
    </row>
    <row r="21" spans="2:23" ht="15" thickBot="1" x14ac:dyDescent="0.25">
      <c r="B21" s="387" t="s">
        <v>19</v>
      </c>
      <c r="C21" s="388"/>
      <c r="D21" s="389"/>
      <c r="E21" s="362" t="s">
        <v>401</v>
      </c>
      <c r="F21" s="363"/>
      <c r="G21" s="364"/>
      <c r="H21" s="318" t="s">
        <v>20</v>
      </c>
      <c r="I21" s="393"/>
      <c r="J21" s="318" t="s">
        <v>30</v>
      </c>
      <c r="K21" s="319"/>
      <c r="L21" s="319"/>
      <c r="M21" s="491"/>
      <c r="N21" s="492"/>
      <c r="O21" s="492"/>
      <c r="P21" s="493"/>
      <c r="Q21" s="463"/>
      <c r="R21" s="464"/>
      <c r="S21" s="464"/>
      <c r="T21" s="465"/>
    </row>
    <row r="22" spans="2:23" ht="15" thickBot="1" x14ac:dyDescent="0.25">
      <c r="B22" s="390"/>
      <c r="C22" s="391"/>
      <c r="D22" s="392"/>
      <c r="E22" s="365"/>
      <c r="F22" s="366"/>
      <c r="G22" s="367"/>
      <c r="H22" s="320"/>
      <c r="I22" s="322"/>
      <c r="J22" s="320"/>
      <c r="K22" s="321"/>
      <c r="L22" s="322"/>
    </row>
    <row r="23" spans="2:23" ht="15" customHeight="1" x14ac:dyDescent="0.2">
      <c r="B23" s="356" t="s">
        <v>22</v>
      </c>
      <c r="C23" s="357"/>
      <c r="D23" s="358"/>
      <c r="E23" s="362" t="s">
        <v>400</v>
      </c>
      <c r="F23" s="363"/>
      <c r="G23" s="364"/>
      <c r="H23" s="368" t="s">
        <v>24</v>
      </c>
      <c r="I23" s="369"/>
      <c r="J23" s="335" t="s">
        <v>109</v>
      </c>
      <c r="K23" s="336"/>
      <c r="L23" s="372" t="s">
        <v>25</v>
      </c>
      <c r="M23" s="372"/>
      <c r="N23" s="326" t="s">
        <v>26</v>
      </c>
      <c r="O23" s="327"/>
      <c r="P23" s="328"/>
      <c r="Q23" s="326" t="s">
        <v>110</v>
      </c>
      <c r="R23" s="327"/>
      <c r="S23" s="327"/>
      <c r="T23" s="327"/>
      <c r="U23" s="327"/>
      <c r="V23" s="328"/>
    </row>
    <row r="24" spans="2:23" ht="25.5" customHeight="1" thickBot="1" x14ac:dyDescent="0.25">
      <c r="B24" s="359"/>
      <c r="C24" s="360"/>
      <c r="D24" s="361"/>
      <c r="E24" s="365"/>
      <c r="F24" s="366"/>
      <c r="G24" s="367"/>
      <c r="H24" s="370"/>
      <c r="I24" s="371"/>
      <c r="J24" s="337"/>
      <c r="K24" s="338"/>
      <c r="L24" s="373"/>
      <c r="M24" s="373"/>
      <c r="N24" s="329"/>
      <c r="O24" s="330"/>
      <c r="P24" s="331"/>
      <c r="Q24" s="329"/>
      <c r="R24" s="330"/>
      <c r="S24" s="330"/>
      <c r="T24" s="330"/>
      <c r="U24" s="330"/>
      <c r="V24" s="331"/>
    </row>
    <row r="25" spans="2:23" ht="14.25" customHeight="1" x14ac:dyDescent="0.2">
      <c r="B25" s="407" t="s">
        <v>80</v>
      </c>
      <c r="C25" s="408"/>
      <c r="D25" s="409"/>
      <c r="E25" s="362" t="s">
        <v>85</v>
      </c>
      <c r="F25" s="363"/>
      <c r="G25" s="363"/>
      <c r="H25" s="363"/>
      <c r="I25" s="363"/>
      <c r="J25" s="337"/>
      <c r="K25" s="338"/>
      <c r="N25" s="329"/>
      <c r="O25" s="330"/>
      <c r="P25" s="331"/>
      <c r="Q25" s="329"/>
      <c r="R25" s="330"/>
      <c r="S25" s="330"/>
      <c r="T25" s="330"/>
      <c r="U25" s="330"/>
      <c r="V25" s="331"/>
    </row>
    <row r="26" spans="2:23" ht="15" customHeight="1" thickBot="1" x14ac:dyDescent="0.25">
      <c r="B26" s="410"/>
      <c r="C26" s="411"/>
      <c r="D26" s="412"/>
      <c r="E26" s="365"/>
      <c r="F26" s="366"/>
      <c r="G26" s="366"/>
      <c r="H26" s="366"/>
      <c r="I26" s="366"/>
      <c r="J26" s="337"/>
      <c r="K26" s="338"/>
      <c r="N26" s="329"/>
      <c r="O26" s="330"/>
      <c r="P26" s="331"/>
      <c r="Q26" s="329"/>
      <c r="R26" s="330"/>
      <c r="S26" s="330"/>
      <c r="T26" s="330"/>
      <c r="U26" s="330"/>
      <c r="V26" s="331"/>
    </row>
    <row r="27" spans="2:23" ht="27" customHeight="1" thickBot="1" x14ac:dyDescent="0.45">
      <c r="B27" s="419" t="s">
        <v>2</v>
      </c>
      <c r="C27" s="420"/>
      <c r="D27" s="421"/>
      <c r="E27" s="365" t="s">
        <v>79</v>
      </c>
      <c r="F27" s="366"/>
      <c r="G27" s="367"/>
      <c r="J27" s="339"/>
      <c r="K27" s="340"/>
      <c r="N27" s="332"/>
      <c r="O27" s="333"/>
      <c r="P27" s="334"/>
      <c r="Q27" s="332"/>
      <c r="R27" s="333"/>
      <c r="S27" s="333"/>
      <c r="T27" s="333"/>
      <c r="U27" s="333"/>
      <c r="V27" s="334"/>
    </row>
    <row r="28" spans="2:23" ht="21" thickBot="1" x14ac:dyDescent="0.3">
      <c r="B28"/>
      <c r="C28"/>
      <c r="D28"/>
      <c r="E28" s="16"/>
      <c r="F28" s="16"/>
      <c r="G28" s="16"/>
    </row>
    <row r="29" spans="2:23" ht="20.25" x14ac:dyDescent="0.25">
      <c r="B29"/>
      <c r="C29"/>
      <c r="D29"/>
      <c r="E29" s="16"/>
      <c r="F29" s="422" t="s">
        <v>81</v>
      </c>
      <c r="G29" s="423"/>
      <c r="H29" s="423"/>
      <c r="I29" s="423"/>
      <c r="J29" s="423"/>
      <c r="K29" s="424"/>
      <c r="M29" s="341" t="s">
        <v>397</v>
      </c>
      <c r="N29" s="342"/>
      <c r="O29" s="342"/>
      <c r="P29" s="342"/>
      <c r="Q29" s="342"/>
      <c r="R29" s="342"/>
      <c r="S29" s="342"/>
      <c r="T29" s="342"/>
      <c r="U29" s="342"/>
      <c r="V29" s="343"/>
    </row>
    <row r="30" spans="2:23" ht="20.25" x14ac:dyDescent="0.25">
      <c r="B30"/>
      <c r="C30"/>
      <c r="D30"/>
      <c r="E30" s="16"/>
      <c r="F30" s="425"/>
      <c r="G30" s="426"/>
      <c r="H30" s="426"/>
      <c r="I30" s="426"/>
      <c r="J30" s="426"/>
      <c r="K30" s="427"/>
      <c r="M30" s="344"/>
      <c r="N30" s="345"/>
      <c r="O30" s="345"/>
      <c r="P30" s="345"/>
      <c r="Q30" s="345"/>
      <c r="R30" s="345"/>
      <c r="S30" s="345"/>
      <c r="T30" s="345"/>
      <c r="U30" s="345"/>
      <c r="V30" s="346"/>
    </row>
    <row r="31" spans="2:23" ht="21" thickBot="1" x14ac:dyDescent="0.3">
      <c r="B31"/>
      <c r="C31"/>
      <c r="D31"/>
      <c r="E31" s="16"/>
      <c r="F31" s="428"/>
      <c r="G31" s="429"/>
      <c r="H31" s="429"/>
      <c r="I31" s="429"/>
      <c r="J31" s="429"/>
      <c r="K31" s="430"/>
      <c r="M31" s="347"/>
      <c r="N31" s="348"/>
      <c r="O31" s="348"/>
      <c r="P31" s="348"/>
      <c r="Q31" s="348"/>
      <c r="R31" s="348"/>
      <c r="S31" s="348"/>
      <c r="T31" s="348"/>
      <c r="U31" s="348"/>
      <c r="V31" s="349"/>
    </row>
    <row r="33" spans="2:14" ht="15" thickBot="1" x14ac:dyDescent="0.25"/>
    <row r="34" spans="2:14" x14ac:dyDescent="0.2">
      <c r="B34" s="457" t="s">
        <v>26</v>
      </c>
      <c r="C34" s="458"/>
      <c r="D34" s="459"/>
      <c r="G34" s="507" t="s">
        <v>51</v>
      </c>
      <c r="H34" s="508"/>
      <c r="I34" s="509"/>
      <c r="L34" s="507" t="s">
        <v>23</v>
      </c>
      <c r="M34" s="508"/>
      <c r="N34" s="509"/>
    </row>
    <row r="35" spans="2:14" x14ac:dyDescent="0.2">
      <c r="B35" s="460"/>
      <c r="C35" s="461"/>
      <c r="D35" s="462"/>
      <c r="G35" s="510"/>
      <c r="H35" s="511"/>
      <c r="I35" s="512"/>
      <c r="L35" s="510"/>
      <c r="M35" s="511"/>
      <c r="N35" s="512"/>
    </row>
    <row r="36" spans="2:14" ht="15" thickBot="1" x14ac:dyDescent="0.25">
      <c r="B36" s="463"/>
      <c r="C36" s="464"/>
      <c r="D36" s="465"/>
      <c r="G36" s="513"/>
      <c r="H36" s="514"/>
      <c r="I36" s="515"/>
      <c r="L36" s="513"/>
      <c r="M36" s="514"/>
      <c r="N36" s="515"/>
    </row>
    <row r="37" spans="2:14" ht="15" customHeight="1" x14ac:dyDescent="0.25">
      <c r="B37" s="433" t="s">
        <v>32</v>
      </c>
      <c r="C37" s="433"/>
      <c r="D37" s="433"/>
      <c r="E37" s="2"/>
      <c r="F37" s="2"/>
      <c r="G37" s="433" t="s">
        <v>44</v>
      </c>
      <c r="H37" s="433"/>
      <c r="I37" s="433"/>
      <c r="J37" s="2"/>
      <c r="K37" s="2"/>
      <c r="L37" s="415" t="s">
        <v>48</v>
      </c>
      <c r="M37" s="416"/>
      <c r="N37" s="417"/>
    </row>
    <row r="38" spans="2:14" ht="15" x14ac:dyDescent="0.25">
      <c r="B38" s="434" t="s">
        <v>33</v>
      </c>
      <c r="C38" s="2"/>
      <c r="D38" s="2"/>
      <c r="E38" s="2"/>
      <c r="F38" s="2"/>
      <c r="G38" s="434" t="s">
        <v>46</v>
      </c>
      <c r="H38" s="2"/>
      <c r="I38" s="2"/>
      <c r="J38" s="2"/>
      <c r="K38" s="2"/>
      <c r="L38" s="418" t="s">
        <v>47</v>
      </c>
      <c r="M38" s="3"/>
      <c r="N38" s="4"/>
    </row>
    <row r="39" spans="2:14" ht="15" x14ac:dyDescent="0.25">
      <c r="B39" s="434"/>
      <c r="C39" s="2"/>
      <c r="D39" s="2"/>
      <c r="E39" s="2"/>
      <c r="F39" s="2"/>
      <c r="G39" s="434"/>
      <c r="H39" s="2"/>
      <c r="I39" s="2"/>
      <c r="J39" s="2"/>
      <c r="K39" s="2"/>
      <c r="L39" s="418"/>
      <c r="M39" s="3"/>
      <c r="N39" s="4"/>
    </row>
    <row r="40" spans="2:14" ht="15" x14ac:dyDescent="0.25">
      <c r="B40" s="434"/>
      <c r="C40" s="2"/>
      <c r="D40" s="2"/>
      <c r="E40" s="2"/>
      <c r="F40" s="2"/>
      <c r="G40" s="434"/>
      <c r="H40" s="2"/>
      <c r="I40" s="2"/>
      <c r="J40" s="2"/>
      <c r="K40" s="2"/>
      <c r="L40" s="418"/>
      <c r="M40" s="3"/>
      <c r="N40" s="4"/>
    </row>
    <row r="41" spans="2:14" ht="15" x14ac:dyDescent="0.25">
      <c r="B41" s="434"/>
      <c r="C41" s="2"/>
      <c r="D41" s="2"/>
      <c r="E41" s="2"/>
      <c r="F41" s="2"/>
      <c r="G41" s="434"/>
      <c r="H41" s="2"/>
      <c r="I41" s="2"/>
      <c r="J41" s="2"/>
      <c r="K41" s="2"/>
      <c r="L41" s="418"/>
      <c r="M41" s="3"/>
      <c r="N41" s="4"/>
    </row>
    <row r="42" spans="2:14" ht="15" x14ac:dyDescent="0.25">
      <c r="B42" s="434"/>
      <c r="C42" s="435" t="s">
        <v>34</v>
      </c>
      <c r="D42" s="435"/>
      <c r="E42" s="2"/>
      <c r="F42" s="2"/>
      <c r="G42" s="434"/>
      <c r="H42" s="435" t="s">
        <v>45</v>
      </c>
      <c r="I42" s="435"/>
      <c r="J42" s="2"/>
      <c r="K42" s="2"/>
      <c r="L42" s="418"/>
      <c r="M42" s="413" t="s">
        <v>45</v>
      </c>
      <c r="N42" s="414"/>
    </row>
    <row r="43" spans="2:14" ht="15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5"/>
      <c r="M43" s="3"/>
      <c r="N43" s="4"/>
    </row>
    <row r="44" spans="2:14" ht="15" x14ac:dyDescent="0.25">
      <c r="B44" s="433" t="s">
        <v>35</v>
      </c>
      <c r="C44" s="433"/>
      <c r="D44" s="433"/>
      <c r="E44" s="2"/>
      <c r="F44" s="2"/>
      <c r="G44" s="2"/>
      <c r="H44" s="2"/>
      <c r="I44" s="2"/>
      <c r="J44" s="2"/>
      <c r="K44" s="2"/>
      <c r="L44" s="415" t="s">
        <v>49</v>
      </c>
      <c r="M44" s="416"/>
      <c r="N44" s="417"/>
    </row>
    <row r="45" spans="2:14" ht="15" x14ac:dyDescent="0.25">
      <c r="B45" s="434" t="s">
        <v>36</v>
      </c>
      <c r="C45" s="2"/>
      <c r="D45" s="2"/>
      <c r="E45" s="2"/>
      <c r="F45" s="2"/>
      <c r="G45" s="2"/>
      <c r="H45" s="2"/>
      <c r="I45" s="2"/>
      <c r="J45" s="2"/>
      <c r="K45" s="2"/>
      <c r="L45" s="418" t="s">
        <v>47</v>
      </c>
      <c r="M45" s="3"/>
      <c r="N45" s="4"/>
    </row>
    <row r="46" spans="2:14" ht="15" x14ac:dyDescent="0.25">
      <c r="B46" s="434"/>
      <c r="C46" s="2"/>
      <c r="D46" s="2"/>
      <c r="E46" s="2"/>
      <c r="F46" s="2"/>
      <c r="G46" s="2"/>
      <c r="H46" s="2"/>
      <c r="I46" s="2"/>
      <c r="J46" s="2"/>
      <c r="K46" s="2"/>
      <c r="L46" s="418"/>
      <c r="M46" s="3"/>
      <c r="N46" s="4"/>
    </row>
    <row r="47" spans="2:14" ht="15" x14ac:dyDescent="0.25">
      <c r="B47" s="434"/>
      <c r="C47" s="2"/>
      <c r="D47" s="2"/>
      <c r="E47" s="2"/>
      <c r="F47" s="2"/>
      <c r="G47" s="2"/>
      <c r="H47" s="2"/>
      <c r="I47" s="2"/>
      <c r="J47" s="2"/>
      <c r="K47" s="2"/>
      <c r="L47" s="418"/>
      <c r="M47" s="3"/>
      <c r="N47" s="4"/>
    </row>
    <row r="48" spans="2:14" ht="15" x14ac:dyDescent="0.25">
      <c r="B48" s="434"/>
      <c r="C48" s="2"/>
      <c r="D48" s="2"/>
      <c r="E48" s="2"/>
      <c r="F48" s="2"/>
      <c r="G48" s="2"/>
      <c r="H48" s="2"/>
      <c r="I48" s="2"/>
      <c r="J48" s="2"/>
      <c r="K48" s="2"/>
      <c r="L48" s="418"/>
      <c r="M48" s="3"/>
      <c r="N48" s="4"/>
    </row>
    <row r="49" spans="2:14" ht="15" x14ac:dyDescent="0.25">
      <c r="B49" s="434"/>
      <c r="C49" s="435" t="s">
        <v>34</v>
      </c>
      <c r="D49" s="435"/>
      <c r="E49" s="2"/>
      <c r="F49" s="2"/>
      <c r="G49"/>
      <c r="H49"/>
      <c r="I49"/>
      <c r="J49" s="2"/>
      <c r="K49" s="2"/>
      <c r="L49" s="418"/>
      <c r="M49" s="413" t="s">
        <v>45</v>
      </c>
      <c r="N49" s="414"/>
    </row>
    <row r="50" spans="2:14" ht="15" x14ac:dyDescent="0.25">
      <c r="B50" s="2"/>
      <c r="C50" s="2"/>
      <c r="D50" s="2"/>
      <c r="E50" s="2"/>
      <c r="F50" s="2"/>
      <c r="G50"/>
      <c r="H50"/>
      <c r="I50"/>
      <c r="J50" s="2"/>
      <c r="K50" s="2"/>
      <c r="L50" s="5"/>
      <c r="M50" s="3"/>
      <c r="N50" s="4"/>
    </row>
    <row r="51" spans="2:14" ht="15" x14ac:dyDescent="0.25">
      <c r="B51" s="433" t="s">
        <v>37</v>
      </c>
      <c r="C51" s="433"/>
      <c r="D51" s="433"/>
      <c r="E51" s="2"/>
      <c r="F51" s="2"/>
      <c r="G51"/>
      <c r="H51"/>
      <c r="I51"/>
      <c r="J51" s="2"/>
      <c r="K51" s="2"/>
      <c r="L51" s="415" t="s">
        <v>50</v>
      </c>
      <c r="M51" s="416"/>
      <c r="N51" s="417"/>
    </row>
    <row r="52" spans="2:14" ht="15" x14ac:dyDescent="0.25">
      <c r="B52" s="434" t="s">
        <v>38</v>
      </c>
      <c r="C52" s="2"/>
      <c r="D52" s="2"/>
      <c r="E52" s="2"/>
      <c r="F52" s="2"/>
      <c r="G52"/>
      <c r="H52"/>
      <c r="I52"/>
      <c r="J52" s="2"/>
      <c r="K52" s="2"/>
      <c r="L52" s="418" t="s">
        <v>47</v>
      </c>
      <c r="M52" s="3"/>
      <c r="N52" s="4"/>
    </row>
    <row r="53" spans="2:14" ht="15" x14ac:dyDescent="0.25">
      <c r="B53" s="434"/>
      <c r="C53" s="2"/>
      <c r="D53" s="2"/>
      <c r="E53" s="2"/>
      <c r="F53" s="2"/>
      <c r="G53"/>
      <c r="H53"/>
      <c r="I53"/>
      <c r="J53" s="2"/>
      <c r="K53" s="2"/>
      <c r="L53" s="418"/>
      <c r="M53" s="3"/>
      <c r="N53" s="4"/>
    </row>
    <row r="54" spans="2:14" ht="15" x14ac:dyDescent="0.25">
      <c r="B54" s="434"/>
      <c r="C54" s="2"/>
      <c r="D54" s="2"/>
      <c r="E54" s="2"/>
      <c r="F54" s="2"/>
      <c r="G54"/>
      <c r="H54"/>
      <c r="I54"/>
      <c r="J54" s="2"/>
      <c r="K54" s="2"/>
      <c r="L54" s="418"/>
      <c r="M54" s="3"/>
      <c r="N54" s="4"/>
    </row>
    <row r="55" spans="2:14" ht="15" x14ac:dyDescent="0.25">
      <c r="B55" s="434"/>
      <c r="C55" s="2"/>
      <c r="D55" s="2"/>
      <c r="E55" s="2"/>
      <c r="F55" s="2"/>
      <c r="G55"/>
      <c r="H55"/>
      <c r="I55"/>
      <c r="J55" s="2"/>
      <c r="K55" s="2"/>
      <c r="L55" s="418"/>
      <c r="M55" s="3"/>
      <c r="N55" s="4"/>
    </row>
    <row r="56" spans="2:14" ht="15.75" thickBot="1" x14ac:dyDescent="0.3">
      <c r="B56" s="434"/>
      <c r="C56" s="435" t="s">
        <v>34</v>
      </c>
      <c r="D56" s="435"/>
      <c r="E56" s="2"/>
      <c r="F56" s="2"/>
      <c r="G56"/>
      <c r="H56"/>
      <c r="I56"/>
      <c r="J56" s="2"/>
      <c r="K56" s="2"/>
      <c r="L56" s="524"/>
      <c r="M56" s="431" t="s">
        <v>45</v>
      </c>
      <c r="N56" s="432"/>
    </row>
    <row r="57" spans="2:14" ht="15" x14ac:dyDescent="0.25">
      <c r="B57" s="2"/>
      <c r="C57" s="2"/>
      <c r="D57" s="2"/>
      <c r="E57" s="2"/>
      <c r="F57" s="2"/>
      <c r="G57"/>
      <c r="H57"/>
      <c r="I57"/>
      <c r="J57" s="2"/>
      <c r="K57" s="2"/>
      <c r="L57" s="2"/>
      <c r="M57" s="2"/>
      <c r="N57" s="2"/>
    </row>
    <row r="58" spans="2:14" ht="15" x14ac:dyDescent="0.25">
      <c r="B58" s="433" t="s">
        <v>39</v>
      </c>
      <c r="C58" s="433"/>
      <c r="D58" s="433"/>
      <c r="E58" s="2"/>
      <c r="F58" s="2"/>
      <c r="G58"/>
      <c r="H58"/>
      <c r="I58"/>
      <c r="J58" s="2"/>
      <c r="K58" s="2"/>
      <c r="L58" s="2"/>
      <c r="M58" s="2"/>
      <c r="N58" s="2"/>
    </row>
    <row r="59" spans="2:14" ht="15" x14ac:dyDescent="0.25">
      <c r="B59" s="434" t="s">
        <v>40</v>
      </c>
      <c r="C59" s="2"/>
      <c r="D59" s="2"/>
      <c r="E59" s="2"/>
      <c r="F59" s="2"/>
      <c r="G59"/>
      <c r="H59"/>
      <c r="I59"/>
      <c r="J59" s="2"/>
      <c r="K59" s="2"/>
      <c r="L59" s="2"/>
      <c r="M59" s="2"/>
      <c r="N59" s="2"/>
    </row>
    <row r="60" spans="2:14" ht="15" x14ac:dyDescent="0.25">
      <c r="B60" s="434"/>
      <c r="C60" s="2"/>
      <c r="D60" s="2"/>
      <c r="E60" s="2"/>
      <c r="F60" s="2"/>
      <c r="G60"/>
      <c r="H60"/>
      <c r="I60"/>
      <c r="J60" s="2"/>
      <c r="K60" s="2"/>
      <c r="L60" s="2"/>
      <c r="M60" s="2"/>
      <c r="N60" s="2"/>
    </row>
    <row r="61" spans="2:14" ht="15" x14ac:dyDescent="0.25">
      <c r="B61" s="434"/>
      <c r="C61" s="2"/>
      <c r="D61" s="2"/>
      <c r="E61" s="2"/>
      <c r="F61" s="2"/>
      <c r="G61"/>
      <c r="H61"/>
      <c r="I61"/>
      <c r="J61" s="2"/>
      <c r="K61" s="2"/>
      <c r="L61" s="2"/>
      <c r="M61" s="2"/>
      <c r="N61" s="2"/>
    </row>
    <row r="62" spans="2:14" ht="15" x14ac:dyDescent="0.25">
      <c r="B62" s="434"/>
      <c r="C62" s="2"/>
      <c r="D62" s="2"/>
      <c r="E62" s="2"/>
      <c r="F62" s="2"/>
      <c r="G62"/>
      <c r="H62"/>
      <c r="I62"/>
      <c r="J62" s="2"/>
      <c r="K62" s="2"/>
      <c r="L62" s="2"/>
      <c r="M62" s="2"/>
      <c r="N62" s="2"/>
    </row>
    <row r="63" spans="2:14" ht="15" x14ac:dyDescent="0.25">
      <c r="B63" s="434"/>
      <c r="C63" s="435" t="s">
        <v>34</v>
      </c>
      <c r="D63" s="435"/>
      <c r="E63" s="2"/>
      <c r="F63" s="2"/>
      <c r="G63"/>
      <c r="H63"/>
      <c r="I63"/>
      <c r="J63" s="2"/>
      <c r="K63" s="2"/>
      <c r="L63" s="2"/>
      <c r="M63" s="2"/>
      <c r="N63" s="2"/>
    </row>
    <row r="64" spans="2:14" ht="15" x14ac:dyDescent="0.25">
      <c r="B64" s="2"/>
      <c r="C64" s="2"/>
      <c r="D64" s="2"/>
      <c r="E64" s="2"/>
      <c r="F64" s="2"/>
      <c r="G64"/>
      <c r="H64"/>
      <c r="I64"/>
      <c r="J64" s="2"/>
      <c r="K64" s="2"/>
      <c r="L64" s="2"/>
      <c r="M64" s="2"/>
      <c r="N64" s="2"/>
    </row>
    <row r="65" spans="1:19" ht="15" x14ac:dyDescent="0.25">
      <c r="B65"/>
      <c r="C65"/>
      <c r="D65"/>
      <c r="E65" s="2"/>
      <c r="F65" s="2"/>
      <c r="G65"/>
      <c r="H65"/>
      <c r="I65"/>
      <c r="J65" s="2"/>
      <c r="K65" s="2"/>
      <c r="L65" s="2"/>
      <c r="M65" s="2"/>
      <c r="N65" s="2"/>
    </row>
    <row r="66" spans="1:19" ht="15" x14ac:dyDescent="0.25">
      <c r="B66"/>
      <c r="C66"/>
      <c r="D66"/>
      <c r="E66" s="2"/>
      <c r="F66" s="2"/>
      <c r="G66"/>
      <c r="H66"/>
      <c r="I66"/>
      <c r="J66" s="2"/>
      <c r="K66" s="2"/>
      <c r="L66" s="2"/>
      <c r="M66" s="2"/>
      <c r="N66" s="2"/>
    </row>
    <row r="67" spans="1:19" ht="15" x14ac:dyDescent="0.25">
      <c r="B67"/>
      <c r="C67"/>
      <c r="D67"/>
      <c r="E67" s="2"/>
      <c r="F67" s="2"/>
      <c r="G67"/>
      <c r="H67"/>
      <c r="I67"/>
      <c r="J67" s="2"/>
      <c r="K67" s="2"/>
      <c r="L67" s="2"/>
      <c r="M67" s="2"/>
      <c r="N67" s="2"/>
    </row>
    <row r="68" spans="1:19" ht="15" x14ac:dyDescent="0.25">
      <c r="B68"/>
      <c r="C68"/>
      <c r="D68"/>
      <c r="E68" s="2"/>
      <c r="F68" s="2"/>
      <c r="G68"/>
      <c r="H68"/>
      <c r="I68"/>
      <c r="J68" s="2"/>
      <c r="K68" s="2"/>
      <c r="L68" s="2"/>
      <c r="M68" s="2"/>
      <c r="N68" s="2"/>
    </row>
    <row r="69" spans="1:19" ht="15" x14ac:dyDescent="0.25">
      <c r="B69"/>
      <c r="C69"/>
      <c r="D69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9" ht="15" x14ac:dyDescent="0.25">
      <c r="B70"/>
      <c r="C70"/>
      <c r="D70"/>
      <c r="E70" s="2"/>
      <c r="F70" s="2"/>
      <c r="G70" s="2"/>
      <c r="H70" s="2"/>
      <c r="I70" s="2"/>
      <c r="J70" s="2"/>
      <c r="K70" s="2"/>
      <c r="L70" s="2"/>
      <c r="M70" s="2"/>
      <c r="N70" s="2"/>
    </row>
    <row r="72" spans="1:19" ht="15" thickBot="1" x14ac:dyDescent="0.25"/>
    <row r="73" spans="1:19" ht="14.25" customHeight="1" x14ac:dyDescent="0.2">
      <c r="C73" s="448" t="s">
        <v>108</v>
      </c>
      <c r="D73" s="449"/>
      <c r="E73" s="449"/>
      <c r="F73" s="449"/>
      <c r="G73" s="449"/>
      <c r="H73" s="449"/>
      <c r="I73" s="449"/>
      <c r="J73" s="449"/>
      <c r="K73" s="449"/>
      <c r="L73" s="449"/>
      <c r="M73" s="450"/>
    </row>
    <row r="74" spans="1:19" ht="14.25" customHeight="1" x14ac:dyDescent="0.2">
      <c r="C74" s="451"/>
      <c r="D74" s="452"/>
      <c r="E74" s="452"/>
      <c r="F74" s="452"/>
      <c r="G74" s="452"/>
      <c r="H74" s="452"/>
      <c r="I74" s="452"/>
      <c r="J74" s="452"/>
      <c r="K74" s="452"/>
      <c r="L74" s="452"/>
      <c r="M74" s="453"/>
    </row>
    <row r="75" spans="1:19" ht="15" customHeight="1" thickBot="1" x14ac:dyDescent="0.25">
      <c r="C75" s="454"/>
      <c r="D75" s="455"/>
      <c r="E75" s="455"/>
      <c r="F75" s="455"/>
      <c r="G75" s="455"/>
      <c r="H75" s="455"/>
      <c r="I75" s="455"/>
      <c r="J75" s="455"/>
      <c r="K75" s="455"/>
      <c r="L75" s="455"/>
      <c r="M75" s="456"/>
    </row>
    <row r="76" spans="1:19" ht="15.75" x14ac:dyDescent="0.25">
      <c r="A76" s="518" t="s">
        <v>67</v>
      </c>
      <c r="B76" s="519"/>
      <c r="C76" s="8" t="s">
        <v>53</v>
      </c>
      <c r="D76" s="264" t="s">
        <v>52</v>
      </c>
      <c r="E76" s="264" t="s">
        <v>57</v>
      </c>
      <c r="F76" s="264" t="s">
        <v>68</v>
      </c>
      <c r="G76" s="264" t="s">
        <v>40</v>
      </c>
      <c r="H76" s="264" t="s">
        <v>54</v>
      </c>
      <c r="I76" s="264" t="s">
        <v>55</v>
      </c>
      <c r="J76" s="264" t="s">
        <v>69</v>
      </c>
      <c r="K76" s="516" t="s">
        <v>56</v>
      </c>
      <c r="L76" s="516"/>
      <c r="M76" s="517"/>
      <c r="P76" s="474" t="s">
        <v>86</v>
      </c>
      <c r="Q76" s="475"/>
      <c r="R76" s="475"/>
      <c r="S76" s="476"/>
    </row>
    <row r="77" spans="1:19" ht="15.75" x14ac:dyDescent="0.25">
      <c r="A77" s="520"/>
      <c r="B77" s="521"/>
      <c r="C77" s="9">
        <v>1</v>
      </c>
      <c r="D77" s="6" t="s">
        <v>63</v>
      </c>
      <c r="E77" s="262"/>
      <c r="F77" s="13" t="s">
        <v>32</v>
      </c>
      <c r="G77" s="7"/>
      <c r="H77" s="7" t="s">
        <v>82</v>
      </c>
      <c r="I77" s="7"/>
      <c r="J77" s="7"/>
      <c r="K77" s="494" t="s">
        <v>62</v>
      </c>
      <c r="L77" s="495"/>
      <c r="M77" s="496"/>
      <c r="P77" s="477"/>
      <c r="Q77" s="478"/>
      <c r="R77" s="478"/>
      <c r="S77" s="479"/>
    </row>
    <row r="78" spans="1:19" ht="15.75" x14ac:dyDescent="0.25">
      <c r="A78" s="520"/>
      <c r="B78" s="521"/>
      <c r="C78" s="9">
        <f>C77+1</f>
        <v>2</v>
      </c>
      <c r="D78" s="7" t="s">
        <v>64</v>
      </c>
      <c r="E78" s="262"/>
      <c r="F78" s="13" t="s">
        <v>35</v>
      </c>
      <c r="G78" s="7"/>
      <c r="H78" s="7" t="s">
        <v>61</v>
      </c>
      <c r="I78" s="7"/>
      <c r="J78" s="7"/>
      <c r="K78" s="497"/>
      <c r="L78" s="498"/>
      <c r="M78" s="499"/>
      <c r="P78" s="477"/>
      <c r="Q78" s="478"/>
      <c r="R78" s="478"/>
      <c r="S78" s="479"/>
    </row>
    <row r="79" spans="1:19" ht="15.75" x14ac:dyDescent="0.25">
      <c r="A79" s="520"/>
      <c r="B79" s="521"/>
      <c r="C79" s="9">
        <f t="shared" ref="C79:C80" si="0">C78+1</f>
        <v>3</v>
      </c>
      <c r="D79" s="7" t="s">
        <v>65</v>
      </c>
      <c r="E79" s="262"/>
      <c r="F79" s="13" t="s">
        <v>37</v>
      </c>
      <c r="G79" s="7"/>
      <c r="H79" s="7" t="s">
        <v>70</v>
      </c>
      <c r="I79" s="7"/>
      <c r="J79" s="7"/>
      <c r="K79" s="497"/>
      <c r="L79" s="498"/>
      <c r="M79" s="499"/>
      <c r="P79" s="477"/>
      <c r="Q79" s="478"/>
      <c r="R79" s="478"/>
      <c r="S79" s="479"/>
    </row>
    <row r="80" spans="1:19" ht="15.75" x14ac:dyDescent="0.25">
      <c r="A80" s="520"/>
      <c r="B80" s="521"/>
      <c r="C80" s="9">
        <f t="shared" si="0"/>
        <v>4</v>
      </c>
      <c r="D80" s="7" t="s">
        <v>66</v>
      </c>
      <c r="E80" s="262"/>
      <c r="F80" s="13" t="s">
        <v>60</v>
      </c>
      <c r="G80" s="7"/>
      <c r="H80" s="7" t="s">
        <v>40</v>
      </c>
      <c r="I80" s="7"/>
      <c r="J80" s="7"/>
      <c r="K80" s="500"/>
      <c r="L80" s="501"/>
      <c r="M80" s="502"/>
      <c r="P80" s="477"/>
      <c r="Q80" s="478"/>
      <c r="R80" s="478"/>
      <c r="S80" s="479"/>
    </row>
    <row r="81" spans="1:19" ht="16.5" thickBot="1" x14ac:dyDescent="0.3">
      <c r="A81" s="520"/>
      <c r="B81" s="521"/>
      <c r="C81" s="9"/>
      <c r="D81" s="7"/>
      <c r="E81" s="262"/>
      <c r="F81" s="13"/>
      <c r="G81" s="7"/>
      <c r="H81" s="7"/>
      <c r="I81" s="7"/>
      <c r="J81" s="7"/>
      <c r="K81" s="436"/>
      <c r="L81" s="437"/>
      <c r="M81" s="438"/>
      <c r="N81" s="12"/>
      <c r="O81" s="12"/>
      <c r="P81" s="477"/>
      <c r="Q81" s="478"/>
      <c r="R81" s="478"/>
      <c r="S81" s="479"/>
    </row>
    <row r="82" spans="1:19" ht="15.75" x14ac:dyDescent="0.25">
      <c r="A82" s="520"/>
      <c r="B82" s="521"/>
      <c r="C82" s="9"/>
      <c r="D82" s="7"/>
      <c r="E82" s="262"/>
      <c r="F82" s="483" t="s">
        <v>72</v>
      </c>
      <c r="G82" s="7"/>
      <c r="H82" s="7"/>
      <c r="I82" s="7"/>
      <c r="J82" s="7"/>
      <c r="K82" s="436"/>
      <c r="L82" s="437"/>
      <c r="M82" s="438"/>
      <c r="P82" s="477"/>
      <c r="Q82" s="478"/>
      <c r="R82" s="478"/>
      <c r="S82" s="479"/>
    </row>
    <row r="83" spans="1:19" ht="15.75" x14ac:dyDescent="0.25">
      <c r="A83" s="520"/>
      <c r="B83" s="521"/>
      <c r="C83" s="9"/>
      <c r="D83" s="7"/>
      <c r="E83" s="262"/>
      <c r="F83" s="484"/>
      <c r="G83" s="7"/>
      <c r="H83" s="7"/>
      <c r="I83" s="7"/>
      <c r="J83" s="7"/>
      <c r="K83" s="436"/>
      <c r="L83" s="437"/>
      <c r="M83" s="438"/>
      <c r="P83" s="477"/>
      <c r="Q83" s="478"/>
      <c r="R83" s="478"/>
      <c r="S83" s="479"/>
    </row>
    <row r="84" spans="1:19" ht="15.75" x14ac:dyDescent="0.25">
      <c r="A84" s="520"/>
      <c r="B84" s="521"/>
      <c r="C84" s="9"/>
      <c r="D84" s="7"/>
      <c r="E84" s="262"/>
      <c r="F84" s="484"/>
      <c r="G84" s="7"/>
      <c r="H84" s="7"/>
      <c r="I84" s="7"/>
      <c r="J84" s="7"/>
      <c r="K84" s="436"/>
      <c r="L84" s="437"/>
      <c r="M84" s="438"/>
      <c r="P84" s="477"/>
      <c r="Q84" s="478"/>
      <c r="R84" s="478"/>
      <c r="S84" s="479"/>
    </row>
    <row r="85" spans="1:19" ht="15.75" x14ac:dyDescent="0.25">
      <c r="A85" s="520"/>
      <c r="B85" s="521"/>
      <c r="C85" s="9"/>
      <c r="D85" s="7"/>
      <c r="E85" s="262"/>
      <c r="F85" s="484"/>
      <c r="G85" s="7"/>
      <c r="H85" s="7"/>
      <c r="I85" s="7"/>
      <c r="J85" s="7"/>
      <c r="K85" s="436"/>
      <c r="L85" s="437"/>
      <c r="M85" s="438"/>
      <c r="P85" s="477"/>
      <c r="Q85" s="478"/>
      <c r="R85" s="478"/>
      <c r="S85" s="479"/>
    </row>
    <row r="86" spans="1:19" ht="15.75" x14ac:dyDescent="0.25">
      <c r="A86" s="520"/>
      <c r="B86" s="521"/>
      <c r="C86" s="9"/>
      <c r="D86" s="7"/>
      <c r="E86" s="262"/>
      <c r="F86" s="484"/>
      <c r="G86" s="7"/>
      <c r="H86" s="7"/>
      <c r="I86" s="7"/>
      <c r="J86" s="7"/>
      <c r="K86" s="503"/>
      <c r="L86" s="503"/>
      <c r="M86" s="504"/>
      <c r="P86" s="477"/>
      <c r="Q86" s="478"/>
      <c r="R86" s="478"/>
      <c r="S86" s="479"/>
    </row>
    <row r="87" spans="1:19" ht="15.75" x14ac:dyDescent="0.25">
      <c r="A87" s="520"/>
      <c r="B87" s="521"/>
      <c r="C87" s="9"/>
      <c r="D87" s="7"/>
      <c r="E87" s="262"/>
      <c r="F87" s="484"/>
      <c r="G87" s="7"/>
      <c r="H87" s="7"/>
      <c r="I87" s="7"/>
      <c r="J87" s="7"/>
      <c r="K87" s="503"/>
      <c r="L87" s="503"/>
      <c r="M87" s="504"/>
      <c r="P87" s="477"/>
      <c r="Q87" s="478"/>
      <c r="R87" s="478"/>
      <c r="S87" s="479"/>
    </row>
    <row r="88" spans="1:19" ht="16.5" thickBot="1" x14ac:dyDescent="0.3">
      <c r="A88" s="520"/>
      <c r="B88" s="521"/>
      <c r="C88" s="9"/>
      <c r="D88" s="7"/>
      <c r="E88" s="262"/>
      <c r="F88" s="485"/>
      <c r="G88" s="7"/>
      <c r="H88" s="7"/>
      <c r="I88" s="7"/>
      <c r="J88" s="7"/>
      <c r="K88" s="503"/>
      <c r="L88" s="503"/>
      <c r="M88" s="504"/>
      <c r="P88" s="477"/>
      <c r="Q88" s="478"/>
      <c r="R88" s="478"/>
      <c r="S88" s="479"/>
    </row>
    <row r="89" spans="1:19" ht="16.5" thickBot="1" x14ac:dyDescent="0.3">
      <c r="A89" s="522"/>
      <c r="B89" s="523"/>
      <c r="C89" s="10"/>
      <c r="D89" s="11"/>
      <c r="E89" s="263"/>
      <c r="F89" s="14"/>
      <c r="G89" s="11"/>
      <c r="H89" s="11"/>
      <c r="I89" s="11"/>
      <c r="J89" s="11"/>
      <c r="K89" s="505"/>
      <c r="L89" s="505"/>
      <c r="M89" s="506"/>
      <c r="P89" s="480"/>
      <c r="Q89" s="481"/>
      <c r="R89" s="481"/>
      <c r="S89" s="482"/>
    </row>
    <row r="90" spans="1:19" ht="15" x14ac:dyDescent="0.25">
      <c r="C90"/>
      <c r="D90"/>
      <c r="E90"/>
      <c r="G90"/>
      <c r="H90"/>
      <c r="I90"/>
      <c r="J90"/>
      <c r="K90"/>
      <c r="L90"/>
    </row>
    <row r="91" spans="1:19" ht="15" x14ac:dyDescent="0.25">
      <c r="C91"/>
      <c r="D91"/>
      <c r="E91"/>
      <c r="G91"/>
      <c r="H91"/>
      <c r="I91"/>
      <c r="J91"/>
      <c r="K91"/>
      <c r="L91"/>
    </row>
    <row r="92" spans="1:19" ht="15" x14ac:dyDescent="0.25">
      <c r="C92"/>
      <c r="D92"/>
      <c r="E92"/>
      <c r="G92"/>
      <c r="H92"/>
      <c r="I92"/>
      <c r="J92"/>
      <c r="K92"/>
      <c r="L92"/>
    </row>
    <row r="93" spans="1:19" ht="15" x14ac:dyDescent="0.25">
      <c r="C93"/>
      <c r="D93"/>
      <c r="E93"/>
      <c r="G93"/>
      <c r="H93"/>
      <c r="I93"/>
      <c r="J93"/>
      <c r="K93"/>
      <c r="L93"/>
    </row>
    <row r="94" spans="1:19" ht="15" x14ac:dyDescent="0.25">
      <c r="C94"/>
      <c r="D94"/>
      <c r="E94"/>
      <c r="G94"/>
      <c r="H94"/>
      <c r="I94"/>
      <c r="J94"/>
      <c r="K94"/>
      <c r="L94"/>
    </row>
    <row r="95" spans="1:19" ht="15" x14ac:dyDescent="0.25">
      <c r="C95"/>
      <c r="D95"/>
      <c r="E95"/>
      <c r="G95"/>
      <c r="H95"/>
      <c r="I95"/>
      <c r="J95"/>
      <c r="K95"/>
      <c r="L95"/>
    </row>
    <row r="96" spans="1:19" ht="15" x14ac:dyDescent="0.25">
      <c r="C96"/>
      <c r="D96"/>
      <c r="E96"/>
      <c r="G96"/>
      <c r="H96"/>
      <c r="I96"/>
      <c r="J96"/>
      <c r="K96"/>
      <c r="L96"/>
    </row>
    <row r="97" spans="3:12" ht="15" x14ac:dyDescent="0.25">
      <c r="C97"/>
      <c r="D97"/>
      <c r="E97"/>
      <c r="F97"/>
      <c r="G97"/>
      <c r="H97"/>
      <c r="I97"/>
      <c r="J97"/>
      <c r="K97"/>
      <c r="L97"/>
    </row>
    <row r="98" spans="3:12" ht="15" x14ac:dyDescent="0.25">
      <c r="C98"/>
      <c r="D98"/>
      <c r="E98"/>
      <c r="F98"/>
      <c r="G98"/>
      <c r="H98"/>
      <c r="I98"/>
      <c r="J98"/>
      <c r="K98"/>
      <c r="L98"/>
    </row>
    <row r="99" spans="3:12" ht="15" x14ac:dyDescent="0.25">
      <c r="C99"/>
      <c r="D99"/>
      <c r="E99"/>
      <c r="F99"/>
      <c r="G99"/>
      <c r="H99"/>
      <c r="I99"/>
      <c r="J99"/>
      <c r="K99"/>
      <c r="L99"/>
    </row>
    <row r="100" spans="3:12" ht="15" x14ac:dyDescent="0.25">
      <c r="C100"/>
      <c r="D100"/>
      <c r="E100"/>
      <c r="F100"/>
      <c r="G100"/>
      <c r="H100"/>
      <c r="I100"/>
      <c r="J100"/>
      <c r="K100"/>
      <c r="L100"/>
    </row>
    <row r="101" spans="3:12" ht="15" x14ac:dyDescent="0.25">
      <c r="C101"/>
      <c r="D101"/>
      <c r="E101"/>
      <c r="F101"/>
      <c r="G101"/>
      <c r="H101"/>
      <c r="I101"/>
      <c r="J101"/>
      <c r="K101"/>
      <c r="L101"/>
    </row>
    <row r="102" spans="3:12" ht="15" x14ac:dyDescent="0.25">
      <c r="C102"/>
      <c r="D102"/>
      <c r="E102"/>
      <c r="F102"/>
      <c r="G102"/>
      <c r="H102"/>
      <c r="I102"/>
      <c r="J102"/>
      <c r="K102"/>
      <c r="L102"/>
    </row>
    <row r="103" spans="3:12" ht="15" x14ac:dyDescent="0.25">
      <c r="C103"/>
      <c r="D103"/>
      <c r="E103"/>
      <c r="F103"/>
      <c r="G103"/>
      <c r="H103"/>
      <c r="I103"/>
      <c r="J103"/>
      <c r="K103"/>
      <c r="L103"/>
    </row>
    <row r="104" spans="3:12" ht="15" x14ac:dyDescent="0.25">
      <c r="C104"/>
      <c r="D104"/>
      <c r="E104"/>
      <c r="F104"/>
      <c r="G104"/>
      <c r="H104"/>
      <c r="I104"/>
      <c r="J104"/>
      <c r="K104"/>
      <c r="L104"/>
    </row>
    <row r="105" spans="3:12" ht="15" x14ac:dyDescent="0.25">
      <c r="C105"/>
      <c r="D105"/>
      <c r="E105"/>
      <c r="F105"/>
      <c r="G105"/>
      <c r="H105"/>
      <c r="I105"/>
      <c r="J105"/>
      <c r="K105"/>
      <c r="L105"/>
    </row>
    <row r="106" spans="3:12" ht="15" x14ac:dyDescent="0.25">
      <c r="C106"/>
      <c r="D106"/>
      <c r="E106"/>
      <c r="F106"/>
      <c r="G106"/>
      <c r="H106"/>
      <c r="I106"/>
      <c r="J106"/>
      <c r="K106"/>
      <c r="L106"/>
    </row>
    <row r="107" spans="3:12" ht="15" x14ac:dyDescent="0.25">
      <c r="C107"/>
      <c r="D107"/>
      <c r="E107"/>
      <c r="F107"/>
      <c r="G107"/>
      <c r="H107"/>
      <c r="I107"/>
      <c r="J107"/>
      <c r="K107"/>
      <c r="L107"/>
    </row>
    <row r="108" spans="3:12" ht="15" x14ac:dyDescent="0.25">
      <c r="C108"/>
      <c r="D108"/>
      <c r="E108"/>
      <c r="F108"/>
      <c r="G108"/>
      <c r="H108"/>
      <c r="I108"/>
      <c r="J108"/>
      <c r="K108"/>
      <c r="L108"/>
    </row>
    <row r="109" spans="3:12" ht="15" x14ac:dyDescent="0.25">
      <c r="C109"/>
      <c r="D109"/>
      <c r="E109"/>
      <c r="F109"/>
      <c r="G109"/>
      <c r="H109"/>
      <c r="I109"/>
      <c r="J109"/>
      <c r="K109"/>
      <c r="L109"/>
    </row>
    <row r="110" spans="3:12" ht="15" x14ac:dyDescent="0.25">
      <c r="C110"/>
      <c r="D110"/>
      <c r="E110"/>
      <c r="F110"/>
      <c r="G110"/>
      <c r="H110"/>
      <c r="I110"/>
      <c r="J110"/>
      <c r="K110"/>
      <c r="L110"/>
    </row>
    <row r="111" spans="3:12" ht="15" x14ac:dyDescent="0.25">
      <c r="C111"/>
      <c r="D111"/>
      <c r="E111"/>
      <c r="F111"/>
      <c r="G111"/>
      <c r="H111"/>
      <c r="I111"/>
      <c r="J111"/>
      <c r="K111"/>
      <c r="L111"/>
    </row>
    <row r="112" spans="3:12" ht="15" x14ac:dyDescent="0.25">
      <c r="C112"/>
      <c r="D112"/>
      <c r="E112"/>
      <c r="F112"/>
      <c r="G112"/>
      <c r="H112"/>
      <c r="I112"/>
      <c r="J112"/>
      <c r="K112"/>
      <c r="L112"/>
    </row>
    <row r="113" spans="3:12" ht="15" x14ac:dyDescent="0.25">
      <c r="C113"/>
      <c r="D113"/>
      <c r="E113"/>
      <c r="F113"/>
      <c r="G113"/>
      <c r="H113"/>
      <c r="I113"/>
      <c r="J113"/>
      <c r="K113"/>
      <c r="L113"/>
    </row>
    <row r="114" spans="3:12" ht="15" x14ac:dyDescent="0.25">
      <c r="C114"/>
      <c r="D114"/>
      <c r="E114"/>
      <c r="F114"/>
      <c r="G114"/>
      <c r="H114"/>
      <c r="I114"/>
      <c r="J114"/>
      <c r="K114"/>
      <c r="L114"/>
    </row>
    <row r="115" spans="3:12" ht="15" x14ac:dyDescent="0.25">
      <c r="C115"/>
      <c r="D115"/>
      <c r="E115"/>
      <c r="F115"/>
      <c r="G115"/>
      <c r="H115"/>
      <c r="I115"/>
      <c r="J115"/>
      <c r="K115"/>
      <c r="L115"/>
    </row>
    <row r="116" spans="3:12" ht="15" x14ac:dyDescent="0.25">
      <c r="C116"/>
      <c r="D116"/>
      <c r="E116"/>
      <c r="F116"/>
      <c r="G116"/>
      <c r="H116"/>
      <c r="I116"/>
      <c r="J116"/>
      <c r="K116"/>
      <c r="L116"/>
    </row>
    <row r="117" spans="3:12" ht="15" x14ac:dyDescent="0.25">
      <c r="C117"/>
      <c r="D117"/>
      <c r="E117"/>
      <c r="F117"/>
      <c r="G117"/>
      <c r="H117"/>
      <c r="I117"/>
      <c r="J117"/>
      <c r="K117"/>
      <c r="L117"/>
    </row>
    <row r="118" spans="3:12" ht="15" x14ac:dyDescent="0.25">
      <c r="C118"/>
      <c r="D118"/>
      <c r="E118"/>
      <c r="F118"/>
      <c r="G118"/>
      <c r="H118"/>
      <c r="I118"/>
      <c r="J118"/>
      <c r="K118"/>
      <c r="L118"/>
    </row>
    <row r="119" spans="3:12" ht="15" x14ac:dyDescent="0.25">
      <c r="C119"/>
      <c r="D119"/>
      <c r="E119"/>
      <c r="F119"/>
      <c r="G119"/>
      <c r="H119"/>
      <c r="I119"/>
      <c r="J119"/>
      <c r="K119"/>
      <c r="L119"/>
    </row>
    <row r="120" spans="3:12" ht="15" x14ac:dyDescent="0.25">
      <c r="C120"/>
      <c r="D120"/>
      <c r="E120"/>
      <c r="F120"/>
      <c r="G120"/>
      <c r="H120"/>
      <c r="I120"/>
      <c r="J120"/>
      <c r="K120"/>
      <c r="L120"/>
    </row>
    <row r="121" spans="3:12" ht="15" x14ac:dyDescent="0.25">
      <c r="C121"/>
      <c r="D121"/>
      <c r="E121"/>
      <c r="F121"/>
      <c r="G121"/>
      <c r="H121"/>
      <c r="I121"/>
      <c r="J121"/>
      <c r="K121"/>
      <c r="L121"/>
    </row>
    <row r="122" spans="3:12" ht="15" x14ac:dyDescent="0.25">
      <c r="C122"/>
      <c r="D122"/>
      <c r="E122"/>
      <c r="F122"/>
      <c r="G122"/>
      <c r="H122"/>
      <c r="I122"/>
      <c r="J122"/>
      <c r="K122"/>
      <c r="L122"/>
    </row>
    <row r="123" spans="3:12" ht="15" x14ac:dyDescent="0.25">
      <c r="C123"/>
      <c r="D123"/>
      <c r="E123"/>
      <c r="F123"/>
      <c r="G123"/>
      <c r="H123"/>
      <c r="I123"/>
      <c r="J123"/>
      <c r="K123"/>
      <c r="L123"/>
    </row>
    <row r="124" spans="3:12" ht="15" x14ac:dyDescent="0.25">
      <c r="C124"/>
      <c r="D124"/>
      <c r="E124"/>
      <c r="F124"/>
      <c r="G124"/>
      <c r="H124"/>
      <c r="I124"/>
      <c r="J124"/>
      <c r="K124"/>
      <c r="L124"/>
    </row>
    <row r="125" spans="3:12" ht="15" x14ac:dyDescent="0.25">
      <c r="C125"/>
      <c r="D125"/>
      <c r="E125"/>
      <c r="F125"/>
      <c r="G125"/>
      <c r="H125"/>
      <c r="I125"/>
      <c r="J125"/>
      <c r="K125"/>
      <c r="L125"/>
    </row>
    <row r="126" spans="3:12" ht="15" x14ac:dyDescent="0.25">
      <c r="C126"/>
      <c r="D126"/>
      <c r="E126"/>
      <c r="F126"/>
      <c r="G126"/>
      <c r="H126"/>
      <c r="I126"/>
      <c r="J126"/>
      <c r="K126"/>
      <c r="L126"/>
    </row>
    <row r="127" spans="3:12" ht="15" x14ac:dyDescent="0.25">
      <c r="C127"/>
      <c r="D127"/>
      <c r="E127"/>
      <c r="F127"/>
      <c r="G127"/>
      <c r="H127"/>
      <c r="I127"/>
      <c r="J127"/>
      <c r="K127"/>
      <c r="L127"/>
    </row>
    <row r="128" spans="3:12" ht="15" x14ac:dyDescent="0.25">
      <c r="C128"/>
      <c r="D128"/>
      <c r="E128"/>
      <c r="F128"/>
      <c r="G128"/>
      <c r="H128"/>
      <c r="I128"/>
      <c r="J128"/>
      <c r="K128"/>
      <c r="L128"/>
    </row>
    <row r="129" spans="3:12" ht="15" x14ac:dyDescent="0.25">
      <c r="C129"/>
      <c r="D129"/>
      <c r="E129"/>
      <c r="F129"/>
      <c r="G129"/>
      <c r="H129"/>
      <c r="I129"/>
      <c r="J129"/>
      <c r="K129"/>
      <c r="L129"/>
    </row>
    <row r="130" spans="3:12" ht="15" x14ac:dyDescent="0.25">
      <c r="C130"/>
      <c r="D130"/>
      <c r="E130"/>
      <c r="F130"/>
      <c r="G130"/>
      <c r="H130"/>
      <c r="I130"/>
      <c r="J130"/>
      <c r="K130"/>
      <c r="L130"/>
    </row>
    <row r="131" spans="3:12" ht="15" x14ac:dyDescent="0.25">
      <c r="C131"/>
      <c r="D131"/>
      <c r="E131"/>
      <c r="F131"/>
      <c r="G131"/>
      <c r="H131"/>
      <c r="I131"/>
      <c r="J131"/>
      <c r="K131"/>
      <c r="L131"/>
    </row>
    <row r="132" spans="3:12" ht="15" x14ac:dyDescent="0.25">
      <c r="C132"/>
      <c r="D132"/>
      <c r="E132"/>
      <c r="F132"/>
      <c r="G132"/>
      <c r="H132"/>
      <c r="I132"/>
      <c r="J132"/>
      <c r="K132"/>
      <c r="L132"/>
    </row>
    <row r="133" spans="3:12" ht="15" x14ac:dyDescent="0.25">
      <c r="C133"/>
      <c r="D133"/>
      <c r="E133"/>
      <c r="F133"/>
      <c r="G133"/>
      <c r="H133"/>
      <c r="I133"/>
      <c r="J133"/>
      <c r="K133"/>
      <c r="L133"/>
    </row>
    <row r="134" spans="3:12" ht="15" x14ac:dyDescent="0.25">
      <c r="C134"/>
      <c r="D134"/>
      <c r="E134"/>
      <c r="F134"/>
      <c r="G134"/>
      <c r="H134"/>
      <c r="I134"/>
      <c r="J134"/>
      <c r="K134"/>
      <c r="L134"/>
    </row>
    <row r="135" spans="3:12" ht="15" x14ac:dyDescent="0.25">
      <c r="C135"/>
      <c r="D135"/>
      <c r="E135"/>
      <c r="F135"/>
      <c r="G135"/>
      <c r="H135"/>
      <c r="I135"/>
      <c r="J135"/>
      <c r="K135"/>
      <c r="L135"/>
    </row>
    <row r="136" spans="3:12" ht="15" x14ac:dyDescent="0.25">
      <c r="C136"/>
      <c r="D136"/>
      <c r="E136"/>
      <c r="F136"/>
      <c r="G136"/>
      <c r="H136"/>
      <c r="I136"/>
      <c r="J136"/>
      <c r="K136"/>
      <c r="L136"/>
    </row>
  </sheetData>
  <mergeCells count="102">
    <mergeCell ref="K81:M81"/>
    <mergeCell ref="K82:M82"/>
    <mergeCell ref="K83:M83"/>
    <mergeCell ref="K84:M84"/>
    <mergeCell ref="K85:M85"/>
    <mergeCell ref="B1:P3"/>
    <mergeCell ref="C73:M75"/>
    <mergeCell ref="Q19:T21"/>
    <mergeCell ref="O14:R18"/>
    <mergeCell ref="P76:S89"/>
    <mergeCell ref="F82:F88"/>
    <mergeCell ref="M19:P21"/>
    <mergeCell ref="K77:M80"/>
    <mergeCell ref="K86:M86"/>
    <mergeCell ref="K87:M87"/>
    <mergeCell ref="K88:M88"/>
    <mergeCell ref="K89:M89"/>
    <mergeCell ref="B34:D36"/>
    <mergeCell ref="L34:N36"/>
    <mergeCell ref="G34:I36"/>
    <mergeCell ref="K76:M76"/>
    <mergeCell ref="A76:B89"/>
    <mergeCell ref="L51:N51"/>
    <mergeCell ref="L52:L56"/>
    <mergeCell ref="M56:N56"/>
    <mergeCell ref="G37:I37"/>
    <mergeCell ref="G38:G42"/>
    <mergeCell ref="H42:I42"/>
    <mergeCell ref="B51:D51"/>
    <mergeCell ref="B52:B56"/>
    <mergeCell ref="C56:D56"/>
    <mergeCell ref="B58:D58"/>
    <mergeCell ref="B59:B63"/>
    <mergeCell ref="C63:D63"/>
    <mergeCell ref="B38:B42"/>
    <mergeCell ref="C42:D42"/>
    <mergeCell ref="B37:D37"/>
    <mergeCell ref="B44:D44"/>
    <mergeCell ref="B45:B49"/>
    <mergeCell ref="C49:D49"/>
    <mergeCell ref="B25:D26"/>
    <mergeCell ref="M42:N42"/>
    <mergeCell ref="L44:N44"/>
    <mergeCell ref="L45:L49"/>
    <mergeCell ref="M49:N49"/>
    <mergeCell ref="B27:D27"/>
    <mergeCell ref="E27:G27"/>
    <mergeCell ref="F29:K31"/>
    <mergeCell ref="E25:I26"/>
    <mergeCell ref="L37:N37"/>
    <mergeCell ref="L38:L42"/>
    <mergeCell ref="B4:P5"/>
    <mergeCell ref="J17:M17"/>
    <mergeCell ref="B23:D24"/>
    <mergeCell ref="E23:G24"/>
    <mergeCell ref="H23:I24"/>
    <mergeCell ref="L23:M24"/>
    <mergeCell ref="J7:M7"/>
    <mergeCell ref="B8:E12"/>
    <mergeCell ref="B19:D20"/>
    <mergeCell ref="E19:G20"/>
    <mergeCell ref="B21:D22"/>
    <mergeCell ref="E21:G22"/>
    <mergeCell ref="H21:I22"/>
    <mergeCell ref="B13:E17"/>
    <mergeCell ref="F17:I17"/>
    <mergeCell ref="J15:M15"/>
    <mergeCell ref="J16:M16"/>
    <mergeCell ref="J9:M9"/>
    <mergeCell ref="O11:R13"/>
    <mergeCell ref="J14:M14"/>
    <mergeCell ref="B6:E6"/>
    <mergeCell ref="F6:I6"/>
    <mergeCell ref="F8:I8"/>
    <mergeCell ref="J6:M6"/>
    <mergeCell ref="J21:L22"/>
    <mergeCell ref="S14:U14"/>
    <mergeCell ref="S16:U16"/>
    <mergeCell ref="F15:I15"/>
    <mergeCell ref="F16:I16"/>
    <mergeCell ref="Q23:V27"/>
    <mergeCell ref="N23:P27"/>
    <mergeCell ref="J23:K27"/>
    <mergeCell ref="M29:V31"/>
    <mergeCell ref="B7:E7"/>
    <mergeCell ref="F7:I7"/>
    <mergeCell ref="J12:M12"/>
    <mergeCell ref="J13:M13"/>
    <mergeCell ref="V13:W13"/>
    <mergeCell ref="V14:W14"/>
    <mergeCell ref="V16:W16"/>
    <mergeCell ref="V18:W18"/>
    <mergeCell ref="V17:W17"/>
    <mergeCell ref="F9:I9"/>
    <mergeCell ref="F10:I10"/>
    <mergeCell ref="F11:I11"/>
    <mergeCell ref="F12:I12"/>
    <mergeCell ref="F13:I13"/>
    <mergeCell ref="F14:I14"/>
    <mergeCell ref="J10:M10"/>
    <mergeCell ref="J11:M11"/>
    <mergeCell ref="J8:M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22"/>
  <sheetViews>
    <sheetView zoomScale="70" zoomScaleNormal="70" workbookViewId="0">
      <selection activeCell="AD11" sqref="AD11"/>
    </sheetView>
  </sheetViews>
  <sheetFormatPr baseColWidth="10" defaultRowHeight="15.75" x14ac:dyDescent="0.25"/>
  <cols>
    <col min="1" max="1" width="16.42578125" style="18" customWidth="1"/>
    <col min="2" max="2" width="5.85546875" style="18" bestFit="1" customWidth="1"/>
    <col min="3" max="3" width="8.5703125" style="18" bestFit="1" customWidth="1"/>
    <col min="4" max="4" width="13.28515625" style="18" bestFit="1" customWidth="1"/>
    <col min="5" max="5" width="12.7109375" style="37" bestFit="1" customWidth="1"/>
    <col min="6" max="6" width="15.42578125" style="18" customWidth="1"/>
    <col min="7" max="7" width="9.7109375" style="18" bestFit="1" customWidth="1"/>
    <col min="8" max="8" width="13.140625" style="18" bestFit="1" customWidth="1"/>
    <col min="9" max="9" width="11" style="18" bestFit="1" customWidth="1"/>
    <col min="10" max="10" width="5.85546875" style="18" bestFit="1" customWidth="1"/>
    <col min="11" max="11" width="9.7109375" style="18" bestFit="1" customWidth="1"/>
    <col min="12" max="12" width="13.140625" style="18" customWidth="1"/>
    <col min="13" max="13" width="8.5703125" style="18" bestFit="1" customWidth="1"/>
    <col min="14" max="14" width="5.42578125" style="18" bestFit="1" customWidth="1"/>
    <col min="15" max="15" width="8.5703125" style="18" bestFit="1" customWidth="1"/>
    <col min="16" max="16" width="13.140625" style="18" bestFit="1" customWidth="1"/>
    <col min="17" max="17" width="8.5703125" style="18" bestFit="1" customWidth="1"/>
    <col min="18" max="18" width="6.28515625" style="18" bestFit="1" customWidth="1"/>
    <col min="19" max="19" width="8.5703125" style="18" bestFit="1" customWidth="1"/>
    <col min="20" max="20" width="13.28515625" style="18" bestFit="1" customWidth="1"/>
    <col min="21" max="21" width="6" style="18" bestFit="1" customWidth="1"/>
    <col min="22" max="22" width="7.42578125" style="18" bestFit="1" customWidth="1"/>
    <col min="23" max="23" width="8.5703125" style="18" bestFit="1" customWidth="1"/>
    <col min="24" max="24" width="13.140625" style="18" bestFit="1" customWidth="1"/>
    <col min="25" max="25" width="8.5703125" style="18" bestFit="1" customWidth="1"/>
    <col min="26" max="26" width="7.42578125" style="18" bestFit="1" customWidth="1"/>
    <col min="27" max="27" width="9.7109375" style="18" bestFit="1" customWidth="1"/>
    <col min="28" max="28" width="13.28515625" style="18" bestFit="1" customWidth="1"/>
    <col min="29" max="29" width="8.5703125" style="18" bestFit="1" customWidth="1"/>
    <col min="30" max="31" width="11.42578125" style="18"/>
    <col min="32" max="32" width="13.85546875" style="18" bestFit="1" customWidth="1"/>
    <col min="33" max="35" width="11.42578125" style="18"/>
    <col min="36" max="36" width="13.85546875" style="18" bestFit="1" customWidth="1"/>
    <col min="37" max="39" width="11.42578125" style="18"/>
    <col min="40" max="40" width="13.85546875" style="18" bestFit="1" customWidth="1"/>
    <col min="41" max="16384" width="11.42578125" style="18"/>
  </cols>
  <sheetData>
    <row r="1" spans="1:49" s="42" customFormat="1" ht="18.75" x14ac:dyDescent="0.3">
      <c r="A1" s="526" t="s">
        <v>32</v>
      </c>
      <c r="B1" s="526"/>
      <c r="C1" s="526"/>
      <c r="D1" s="526"/>
      <c r="E1" s="526"/>
      <c r="F1" s="526" t="s">
        <v>35</v>
      </c>
      <c r="G1" s="526"/>
      <c r="H1" s="526"/>
      <c r="I1" s="526"/>
      <c r="J1" s="526" t="s">
        <v>37</v>
      </c>
      <c r="K1" s="526"/>
      <c r="L1" s="526"/>
      <c r="M1" s="526"/>
      <c r="N1" s="526" t="s">
        <v>60</v>
      </c>
      <c r="O1" s="526"/>
      <c r="P1" s="526"/>
      <c r="Q1" s="526"/>
      <c r="R1" s="525" t="s">
        <v>41</v>
      </c>
      <c r="S1" s="525"/>
      <c r="T1" s="525"/>
      <c r="U1" s="525"/>
      <c r="V1" s="525" t="s">
        <v>42</v>
      </c>
      <c r="W1" s="525"/>
      <c r="X1" s="525"/>
      <c r="Y1" s="525"/>
      <c r="Z1" s="525" t="s">
        <v>43</v>
      </c>
      <c r="AA1" s="525"/>
      <c r="AB1" s="525"/>
      <c r="AC1" s="525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</row>
    <row r="2" spans="1:49" s="37" customFormat="1" x14ac:dyDescent="0.25">
      <c r="A2" s="32"/>
      <c r="B2" s="26" t="s">
        <v>40</v>
      </c>
      <c r="C2" s="26" t="s">
        <v>87</v>
      </c>
      <c r="D2" s="26" t="s">
        <v>89</v>
      </c>
      <c r="E2" s="26" t="s">
        <v>91</v>
      </c>
      <c r="F2" s="19" t="s">
        <v>40</v>
      </c>
      <c r="G2" s="19" t="s">
        <v>87</v>
      </c>
      <c r="H2" s="19" t="s">
        <v>89</v>
      </c>
      <c r="I2" s="19" t="s">
        <v>91</v>
      </c>
      <c r="J2" s="27" t="s">
        <v>90</v>
      </c>
      <c r="K2" s="27" t="s">
        <v>87</v>
      </c>
      <c r="L2" s="27" t="s">
        <v>89</v>
      </c>
      <c r="M2" s="27" t="s">
        <v>91</v>
      </c>
      <c r="N2" s="33" t="s">
        <v>40</v>
      </c>
      <c r="O2" s="33" t="s">
        <v>87</v>
      </c>
      <c r="P2" s="28" t="s">
        <v>89</v>
      </c>
      <c r="Q2" s="28" t="s">
        <v>91</v>
      </c>
      <c r="R2" s="34" t="s">
        <v>40</v>
      </c>
      <c r="S2" s="34" t="s">
        <v>87</v>
      </c>
      <c r="T2" s="29" t="s">
        <v>89</v>
      </c>
      <c r="U2" s="29" t="s">
        <v>91</v>
      </c>
      <c r="V2" s="35" t="s">
        <v>90</v>
      </c>
      <c r="W2" s="35" t="s">
        <v>87</v>
      </c>
      <c r="X2" s="30" t="s">
        <v>89</v>
      </c>
      <c r="Y2" s="30" t="s">
        <v>91</v>
      </c>
      <c r="Z2" s="36" t="s">
        <v>90</v>
      </c>
      <c r="AA2" s="36" t="s">
        <v>87</v>
      </c>
      <c r="AB2" s="31" t="s">
        <v>89</v>
      </c>
      <c r="AC2" s="31" t="s">
        <v>91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</row>
    <row r="3" spans="1:49" x14ac:dyDescent="0.25">
      <c r="A3" s="25">
        <v>2010</v>
      </c>
      <c r="B3" s="26" t="s">
        <v>82</v>
      </c>
      <c r="C3" s="38">
        <v>2.5</v>
      </c>
      <c r="D3" s="38"/>
      <c r="E3" s="39"/>
      <c r="F3" s="20" t="s">
        <v>88</v>
      </c>
      <c r="G3" s="41">
        <v>4.5</v>
      </c>
      <c r="H3" s="20"/>
      <c r="I3" s="20"/>
      <c r="J3" s="27" t="s">
        <v>92</v>
      </c>
      <c r="K3" s="43">
        <v>9</v>
      </c>
      <c r="L3" s="43"/>
      <c r="M3" s="44"/>
      <c r="N3" s="21" t="s">
        <v>40</v>
      </c>
      <c r="O3" s="45">
        <v>0.2</v>
      </c>
      <c r="P3" s="45"/>
      <c r="Q3" s="21"/>
      <c r="R3" s="22" t="s">
        <v>82</v>
      </c>
      <c r="S3" s="53">
        <v>3.1</v>
      </c>
      <c r="T3" s="53"/>
      <c r="U3" s="54"/>
      <c r="V3" s="23" t="s">
        <v>82</v>
      </c>
      <c r="W3" s="52">
        <v>3</v>
      </c>
      <c r="X3" s="52"/>
      <c r="Y3" s="23"/>
      <c r="Z3" s="24" t="s">
        <v>82</v>
      </c>
      <c r="AA3" s="58">
        <v>30</v>
      </c>
      <c r="AB3" s="58"/>
      <c r="AC3" s="24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</row>
    <row r="4" spans="1:49" x14ac:dyDescent="0.25">
      <c r="A4" s="25">
        <v>2015</v>
      </c>
      <c r="B4" s="26" t="s">
        <v>82</v>
      </c>
      <c r="C4" s="38">
        <v>3.25</v>
      </c>
      <c r="D4" s="38">
        <f>C4-C3</f>
        <v>0.75</v>
      </c>
      <c r="E4" s="40">
        <f>((C4-C3)/C3)</f>
        <v>0.3</v>
      </c>
      <c r="F4" s="20" t="s">
        <v>88</v>
      </c>
      <c r="G4" s="41">
        <v>5.85</v>
      </c>
      <c r="H4" s="41">
        <f>G4-G3</f>
        <v>1.3499999999999996</v>
      </c>
      <c r="I4" s="55">
        <f>(G4-G3)/G3*1</f>
        <v>0.29999999999999993</v>
      </c>
      <c r="J4" s="27" t="s">
        <v>92</v>
      </c>
      <c r="K4" s="43">
        <v>14</v>
      </c>
      <c r="L4" s="43">
        <f>K4-K3</f>
        <v>5</v>
      </c>
      <c r="M4" s="44">
        <f>(K4-K3)/K3*1</f>
        <v>0.55555555555555558</v>
      </c>
      <c r="N4" s="21" t="s">
        <v>40</v>
      </c>
      <c r="O4" s="45">
        <v>0.33</v>
      </c>
      <c r="P4" s="45">
        <f>O4-O3</f>
        <v>0.13</v>
      </c>
      <c r="Q4" s="49">
        <f>(O4-O3)/O3*1</f>
        <v>0.65</v>
      </c>
      <c r="R4" s="22" t="s">
        <v>82</v>
      </c>
      <c r="S4" s="53">
        <v>2.5</v>
      </c>
      <c r="T4" s="53">
        <f>S4-S3</f>
        <v>-0.60000000000000009</v>
      </c>
      <c r="U4" s="54">
        <f>(S4-S3)/S3*1</f>
        <v>-0.19354838709677422</v>
      </c>
      <c r="V4" s="23" t="s">
        <v>82</v>
      </c>
      <c r="W4" s="52">
        <v>4.5</v>
      </c>
      <c r="X4" s="52">
        <f>W4-W3</f>
        <v>1.5</v>
      </c>
      <c r="Y4" s="56">
        <f>(W4-W3)/W3*1</f>
        <v>0.5</v>
      </c>
      <c r="Z4" s="24" t="s">
        <v>82</v>
      </c>
      <c r="AA4" s="58">
        <v>35</v>
      </c>
      <c r="AB4" s="58">
        <f>AA4-AA3</f>
        <v>5</v>
      </c>
      <c r="AC4" s="59">
        <f>(AA4-AA3)/AA3*1</f>
        <v>0.16666666666666666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</row>
    <row r="5" spans="1:49" x14ac:dyDescent="0.25">
      <c r="A5" s="25">
        <v>2020</v>
      </c>
      <c r="B5" s="26" t="s">
        <v>82</v>
      </c>
      <c r="C5" s="38">
        <v>4.45</v>
      </c>
      <c r="D5" s="38">
        <f t="shared" ref="D5:D6" si="0">C5-C4</f>
        <v>1.2000000000000002</v>
      </c>
      <c r="E5" s="40">
        <f t="shared" ref="E5:E6" si="1">((C5-C4)/C4)</f>
        <v>0.36923076923076931</v>
      </c>
      <c r="F5" s="20" t="s">
        <v>88</v>
      </c>
      <c r="G5" s="41">
        <v>10.56</v>
      </c>
      <c r="H5" s="41">
        <f t="shared" ref="H5:H6" si="2">G5-G4</f>
        <v>4.7100000000000009</v>
      </c>
      <c r="I5" s="55">
        <f t="shared" ref="I5:I6" si="3">(G5-G4)/G4*1</f>
        <v>0.80512820512820538</v>
      </c>
      <c r="J5" s="27" t="s">
        <v>92</v>
      </c>
      <c r="K5" s="43">
        <v>39</v>
      </c>
      <c r="L5" s="43">
        <f t="shared" ref="L5:L6" si="4">K5-K4</f>
        <v>25</v>
      </c>
      <c r="M5" s="44">
        <f t="shared" ref="M5:M6" si="5">(K5-K4)/K4*1</f>
        <v>1.7857142857142858</v>
      </c>
      <c r="N5" s="21" t="s">
        <v>40</v>
      </c>
      <c r="O5" s="45">
        <v>0.8</v>
      </c>
      <c r="P5" s="45">
        <f t="shared" ref="P5:P6" si="6">O5-O4</f>
        <v>0.47000000000000003</v>
      </c>
      <c r="Q5" s="49">
        <f t="shared" ref="Q5:Q6" si="7">(O5-O4)/O4*1</f>
        <v>1.4242424242424243</v>
      </c>
      <c r="R5" s="22" t="s">
        <v>82</v>
      </c>
      <c r="S5" s="53">
        <v>2.9</v>
      </c>
      <c r="T5" s="53">
        <f t="shared" ref="T5:T6" si="8">S5-S4</f>
        <v>0.39999999999999991</v>
      </c>
      <c r="U5" s="54">
        <f t="shared" ref="U5:U6" si="9">(S5-S4)/S4*1</f>
        <v>0.15999999999999998</v>
      </c>
      <c r="V5" s="23" t="s">
        <v>82</v>
      </c>
      <c r="W5" s="52">
        <v>7.2</v>
      </c>
      <c r="X5" s="52">
        <f t="shared" ref="X5:X6" si="10">W5-W4</f>
        <v>2.7</v>
      </c>
      <c r="Y5" s="56">
        <f t="shared" ref="Y5:Y6" si="11">(W5-W4)/W4*1</f>
        <v>0.60000000000000009</v>
      </c>
      <c r="Z5" s="24" t="s">
        <v>82</v>
      </c>
      <c r="AA5" s="58">
        <v>60</v>
      </c>
      <c r="AB5" s="58">
        <f t="shared" ref="AB5:AB6" si="12">AA5-AA4</f>
        <v>25</v>
      </c>
      <c r="AC5" s="59">
        <f t="shared" ref="AC5:AC6" si="13">(AA5-AA4)/AA4*1</f>
        <v>0.7142857142857143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</row>
    <row r="6" spans="1:49" x14ac:dyDescent="0.25">
      <c r="A6" s="25">
        <v>2025</v>
      </c>
      <c r="B6" s="26" t="s">
        <v>82</v>
      </c>
      <c r="C6" s="38">
        <v>6.5</v>
      </c>
      <c r="D6" s="38">
        <f t="shared" si="0"/>
        <v>2.0499999999999998</v>
      </c>
      <c r="E6" s="40">
        <f t="shared" si="1"/>
        <v>0.46067415730337075</v>
      </c>
      <c r="F6" s="20" t="s">
        <v>88</v>
      </c>
      <c r="G6" s="41">
        <v>14.2</v>
      </c>
      <c r="H6" s="41">
        <f t="shared" si="2"/>
        <v>3.6399999999999988</v>
      </c>
      <c r="I6" s="55">
        <f t="shared" si="3"/>
        <v>0.34469696969696956</v>
      </c>
      <c r="J6" s="27" t="s">
        <v>92</v>
      </c>
      <c r="K6" s="43">
        <v>30</v>
      </c>
      <c r="L6" s="43">
        <f t="shared" si="4"/>
        <v>-9</v>
      </c>
      <c r="M6" s="44">
        <f t="shared" si="5"/>
        <v>-0.23076923076923078</v>
      </c>
      <c r="N6" s="21" t="s">
        <v>40</v>
      </c>
      <c r="O6" s="45">
        <v>0.65</v>
      </c>
      <c r="P6" s="45">
        <f t="shared" si="6"/>
        <v>-0.15000000000000002</v>
      </c>
      <c r="Q6" s="49">
        <f t="shared" si="7"/>
        <v>-0.18750000000000003</v>
      </c>
      <c r="R6" s="22" t="s">
        <v>82</v>
      </c>
      <c r="S6" s="53">
        <v>3.89</v>
      </c>
      <c r="T6" s="53">
        <f t="shared" si="8"/>
        <v>0.99000000000000021</v>
      </c>
      <c r="U6" s="54">
        <f t="shared" si="9"/>
        <v>0.34137931034482766</v>
      </c>
      <c r="V6" s="23" t="s">
        <v>82</v>
      </c>
      <c r="W6" s="52">
        <v>8.99</v>
      </c>
      <c r="X6" s="52">
        <f t="shared" si="10"/>
        <v>1.79</v>
      </c>
      <c r="Y6" s="56">
        <f t="shared" si="11"/>
        <v>0.24861111111111112</v>
      </c>
      <c r="Z6" s="24" t="s">
        <v>82</v>
      </c>
      <c r="AA6" s="58">
        <v>52</v>
      </c>
      <c r="AB6" s="58">
        <f t="shared" si="12"/>
        <v>-8</v>
      </c>
      <c r="AC6" s="59">
        <f t="shared" si="13"/>
        <v>-0.13333333333333333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</row>
    <row r="7" spans="1:49" s="46" customFormat="1" x14ac:dyDescent="0.25">
      <c r="A7" s="46" t="s">
        <v>93</v>
      </c>
      <c r="D7" s="47">
        <f>AVERAGE(D3:D6)</f>
        <v>1.3333333333333333</v>
      </c>
      <c r="E7" s="48">
        <f>AVERAGE(E4:E6)</f>
        <v>0.37663497551138003</v>
      </c>
      <c r="H7" s="47">
        <f>AVERAGE(H4:H6)</f>
        <v>3.2333333333333329</v>
      </c>
      <c r="I7" s="48">
        <f>AVERAGE(I4:I6)</f>
        <v>0.48327505827505823</v>
      </c>
      <c r="L7" s="47">
        <f>AVERAGE(L4:L6)</f>
        <v>7</v>
      </c>
      <c r="M7" s="48">
        <f>AVERAGE(M4:M6)</f>
        <v>0.70350020350020348</v>
      </c>
      <c r="P7" s="47">
        <f>AVERAGE(P4:P6)</f>
        <v>0.15000000000000002</v>
      </c>
      <c r="Q7" s="50">
        <f>AVERAGE(Q4:Q6)</f>
        <v>0.62891414141414137</v>
      </c>
      <c r="T7" s="51">
        <f>AVERAGE(T4:T6)</f>
        <v>0.26333333333333336</v>
      </c>
      <c r="U7" s="57">
        <f>AVERAGE(U4:U6)</f>
        <v>0.10261030774935113</v>
      </c>
      <c r="X7" s="47">
        <f>AVERAGE(X4:X6)</f>
        <v>1.9966666666666668</v>
      </c>
      <c r="Y7" s="50">
        <f>AVERAGE(Y4:Y6)</f>
        <v>0.44953703703703707</v>
      </c>
      <c r="AB7" s="47">
        <f>AVERAGE(AB4:AB6)</f>
        <v>7.333333333333333</v>
      </c>
      <c r="AC7" s="50">
        <f>AVERAGE(AC4:AC6)</f>
        <v>0.24920634920634921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</row>
    <row r="25" spans="1:1" x14ac:dyDescent="0.25">
      <c r="A25" s="63" t="s">
        <v>32</v>
      </c>
    </row>
    <row r="26" spans="1:1" x14ac:dyDescent="0.25">
      <c r="A26" s="63" t="s">
        <v>35</v>
      </c>
    </row>
    <row r="27" spans="1:1" x14ac:dyDescent="0.25">
      <c r="A27" s="63" t="s">
        <v>37</v>
      </c>
    </row>
    <row r="28" spans="1:1" x14ac:dyDescent="0.25">
      <c r="A28" s="63" t="s">
        <v>60</v>
      </c>
    </row>
    <row r="29" spans="1:1" x14ac:dyDescent="0.25">
      <c r="A29" s="63" t="s">
        <v>41</v>
      </c>
    </row>
    <row r="30" spans="1:1" x14ac:dyDescent="0.25">
      <c r="A30" s="63" t="s">
        <v>42</v>
      </c>
    </row>
    <row r="31" spans="1:1" x14ac:dyDescent="0.25">
      <c r="A31" s="63" t="s">
        <v>43</v>
      </c>
    </row>
    <row r="41" spans="4:26" ht="18.75" x14ac:dyDescent="0.3">
      <c r="D41" s="62"/>
      <c r="E41" s="62"/>
      <c r="F41" s="62"/>
      <c r="G41" s="62"/>
      <c r="H41" s="62"/>
    </row>
    <row r="42" spans="4:26" x14ac:dyDescent="0.25"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4:26" x14ac:dyDescent="0.25"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4:26" x14ac:dyDescent="0.25"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4:26" x14ac:dyDescent="0.25"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4:26" x14ac:dyDescent="0.25"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4:26" x14ac:dyDescent="0.25"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4:26" x14ac:dyDescent="0.25"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7:26" x14ac:dyDescent="0.25"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7:26" x14ac:dyDescent="0.25"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7:26" x14ac:dyDescent="0.25"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7:26" x14ac:dyDescent="0.25"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7:26" x14ac:dyDescent="0.25"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7:26" x14ac:dyDescent="0.25"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7:26" x14ac:dyDescent="0.25"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7:26" x14ac:dyDescent="0.25"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7:26" x14ac:dyDescent="0.25"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7:26" x14ac:dyDescent="0.25"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7:26" x14ac:dyDescent="0.25"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7:26" x14ac:dyDescent="0.25"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7:26" x14ac:dyDescent="0.25"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7:26" x14ac:dyDescent="0.25"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7:26" x14ac:dyDescent="0.25"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7:26" x14ac:dyDescent="0.25"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7:26" x14ac:dyDescent="0.25"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7:26" x14ac:dyDescent="0.25"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7:26" x14ac:dyDescent="0.25"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7:26" x14ac:dyDescent="0.25"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7:26" x14ac:dyDescent="0.25"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7:26" x14ac:dyDescent="0.25"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7:26" x14ac:dyDescent="0.25"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7:26" x14ac:dyDescent="0.25"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7:26" x14ac:dyDescent="0.25"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7:26" x14ac:dyDescent="0.25"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7:26" x14ac:dyDescent="0.25"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7:26" x14ac:dyDescent="0.25"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7:26" x14ac:dyDescent="0.25"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81" spans="6:40" x14ac:dyDescent="0.25">
      <c r="F81" s="61"/>
      <c r="G81" s="61" t="s">
        <v>94</v>
      </c>
      <c r="H81" s="61"/>
      <c r="I81" s="61"/>
      <c r="J81" s="61"/>
      <c r="K81" s="61"/>
      <c r="L81" s="61"/>
      <c r="P81" s="65" t="s">
        <v>111</v>
      </c>
      <c r="Q81" s="66"/>
      <c r="R81" s="66"/>
      <c r="S81" s="66"/>
      <c r="V81" s="68" t="s">
        <v>138</v>
      </c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</row>
    <row r="82" spans="6:40" x14ac:dyDescent="0.25">
      <c r="F82" s="61"/>
      <c r="G82" s="61" t="s">
        <v>95</v>
      </c>
      <c r="H82" s="61"/>
      <c r="I82" s="61"/>
      <c r="J82" s="61"/>
      <c r="K82" s="61"/>
      <c r="L82" s="61"/>
      <c r="P82" s="65" t="s">
        <v>112</v>
      </c>
      <c r="Q82" s="66"/>
      <c r="R82" s="66"/>
      <c r="S82" s="66"/>
      <c r="V82" s="68" t="s">
        <v>139</v>
      </c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</row>
    <row r="83" spans="6:40" x14ac:dyDescent="0.25">
      <c r="F83" s="61"/>
      <c r="G83" s="61" t="s">
        <v>96</v>
      </c>
      <c r="H83" s="61"/>
      <c r="I83" s="61"/>
      <c r="J83" s="61"/>
      <c r="K83" s="61"/>
      <c r="L83" s="61"/>
      <c r="P83" s="67"/>
      <c r="Q83" s="66"/>
      <c r="R83" s="66"/>
      <c r="S83" s="66"/>
      <c r="V83" s="68" t="s">
        <v>140</v>
      </c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</row>
    <row r="84" spans="6:40" x14ac:dyDescent="0.25">
      <c r="F84" s="61"/>
      <c r="G84" s="61" t="s">
        <v>97</v>
      </c>
      <c r="H84" s="61"/>
      <c r="I84" s="61"/>
      <c r="J84" s="61"/>
      <c r="K84" s="61"/>
      <c r="L84" s="61"/>
      <c r="P84" s="65" t="s">
        <v>113</v>
      </c>
      <c r="Q84" s="66"/>
      <c r="R84" s="66"/>
      <c r="S84" s="66"/>
      <c r="V84" s="68" t="s">
        <v>141</v>
      </c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</row>
    <row r="85" spans="6:40" x14ac:dyDescent="0.25">
      <c r="F85" s="61"/>
      <c r="G85" s="61" t="s">
        <v>98</v>
      </c>
      <c r="H85" s="61"/>
      <c r="I85" s="61"/>
      <c r="J85" s="61"/>
      <c r="K85" s="61"/>
      <c r="L85" s="61"/>
      <c r="P85" s="65" t="s">
        <v>114</v>
      </c>
      <c r="Q85" s="66"/>
      <c r="R85" s="66"/>
      <c r="S85" s="66"/>
      <c r="V85" s="68" t="s">
        <v>142</v>
      </c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</row>
    <row r="86" spans="6:40" x14ac:dyDescent="0.25">
      <c r="F86" s="61"/>
      <c r="G86" s="61" t="s">
        <v>99</v>
      </c>
      <c r="H86" s="61"/>
      <c r="I86" s="61"/>
      <c r="J86" s="61"/>
      <c r="K86" s="61"/>
      <c r="L86" s="61"/>
      <c r="P86" s="65" t="s">
        <v>115</v>
      </c>
      <c r="Q86" s="66"/>
      <c r="R86" s="66"/>
      <c r="S86" s="66"/>
      <c r="V86" s="68" t="s">
        <v>143</v>
      </c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</row>
    <row r="87" spans="6:40" x14ac:dyDescent="0.25">
      <c r="F87" s="61"/>
      <c r="G87" s="61" t="s">
        <v>100</v>
      </c>
      <c r="H87" s="61"/>
      <c r="I87" s="61"/>
      <c r="J87" s="61"/>
      <c r="K87" s="61"/>
      <c r="L87" s="61"/>
      <c r="P87" s="67"/>
      <c r="Q87" s="66"/>
      <c r="R87" s="66"/>
      <c r="S87" s="66"/>
      <c r="V87" s="68" t="s">
        <v>144</v>
      </c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</row>
    <row r="88" spans="6:40" x14ac:dyDescent="0.25">
      <c r="F88" s="61"/>
      <c r="G88" s="61" t="s">
        <v>101</v>
      </c>
      <c r="H88" s="61"/>
      <c r="I88" s="61"/>
      <c r="J88" s="61"/>
      <c r="K88" s="61"/>
      <c r="L88" s="61"/>
      <c r="P88" s="65" t="s">
        <v>116</v>
      </c>
      <c r="Q88" s="66"/>
      <c r="R88" s="66"/>
      <c r="S88" s="66"/>
      <c r="V88" s="68" t="s">
        <v>145</v>
      </c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</row>
    <row r="89" spans="6:40" x14ac:dyDescent="0.25">
      <c r="F89" s="61"/>
      <c r="G89" s="61" t="s">
        <v>102</v>
      </c>
      <c r="H89" s="61"/>
      <c r="I89" s="61"/>
      <c r="J89" s="61"/>
      <c r="K89" s="61"/>
      <c r="L89" s="61"/>
      <c r="P89" s="65" t="s">
        <v>117</v>
      </c>
      <c r="Q89" s="66"/>
      <c r="R89" s="66"/>
      <c r="S89" s="66"/>
      <c r="V89" s="68" t="s">
        <v>146</v>
      </c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</row>
    <row r="90" spans="6:40" x14ac:dyDescent="0.25">
      <c r="F90" s="61"/>
      <c r="G90" s="61" t="s">
        <v>103</v>
      </c>
      <c r="H90" s="61"/>
      <c r="I90" s="61"/>
      <c r="J90" s="61"/>
      <c r="K90" s="61"/>
      <c r="L90" s="61"/>
      <c r="P90" s="65" t="s">
        <v>118</v>
      </c>
      <c r="Q90" s="66"/>
      <c r="R90" s="66"/>
      <c r="S90" s="66"/>
    </row>
    <row r="91" spans="6:40" x14ac:dyDescent="0.25">
      <c r="F91" s="61"/>
      <c r="G91" s="61"/>
      <c r="H91" s="61"/>
      <c r="I91" s="61"/>
      <c r="J91" s="61"/>
      <c r="K91" s="61"/>
      <c r="L91" s="61"/>
      <c r="P91" s="65" t="s">
        <v>119</v>
      </c>
      <c r="Q91" s="66"/>
      <c r="R91" s="66"/>
      <c r="S91" s="66"/>
    </row>
    <row r="92" spans="6:40" x14ac:dyDescent="0.25">
      <c r="F92" s="61"/>
      <c r="G92" s="61"/>
      <c r="H92" s="61"/>
      <c r="I92" s="61"/>
      <c r="J92" s="61"/>
      <c r="K92" s="61"/>
      <c r="L92" s="61"/>
      <c r="P92" s="67"/>
      <c r="Q92" s="66"/>
      <c r="R92" s="66"/>
      <c r="S92" s="66"/>
    </row>
    <row r="93" spans="6:40" x14ac:dyDescent="0.25">
      <c r="F93" s="61"/>
      <c r="G93" s="61" t="s">
        <v>104</v>
      </c>
      <c r="H93" s="61"/>
      <c r="I93" s="61"/>
      <c r="J93" s="61"/>
      <c r="K93" s="61"/>
      <c r="L93" s="61"/>
      <c r="P93" s="65" t="s">
        <v>120</v>
      </c>
      <c r="Q93" s="66"/>
      <c r="R93" s="66"/>
      <c r="S93" s="66"/>
    </row>
    <row r="94" spans="6:40" x14ac:dyDescent="0.25">
      <c r="F94" s="61"/>
      <c r="G94" s="61" t="s">
        <v>105</v>
      </c>
      <c r="H94" s="61"/>
      <c r="I94" s="61"/>
      <c r="J94" s="61"/>
      <c r="K94" s="61"/>
      <c r="L94" s="61"/>
      <c r="P94" s="65" t="s">
        <v>121</v>
      </c>
      <c r="Q94" s="66"/>
      <c r="R94" s="66"/>
      <c r="S94" s="66"/>
    </row>
    <row r="95" spans="6:40" x14ac:dyDescent="0.25">
      <c r="F95" s="61"/>
      <c r="G95" s="61" t="s">
        <v>106</v>
      </c>
      <c r="H95" s="61"/>
      <c r="I95" s="61"/>
      <c r="J95" s="61"/>
      <c r="K95" s="61"/>
      <c r="L95" s="61"/>
      <c r="P95" s="65" t="s">
        <v>118</v>
      </c>
      <c r="Q95" s="66"/>
      <c r="R95" s="66"/>
      <c r="S95" s="66"/>
    </row>
    <row r="96" spans="6:40" x14ac:dyDescent="0.25">
      <c r="F96" s="61"/>
      <c r="G96" s="61"/>
      <c r="H96" s="61"/>
      <c r="I96" s="61"/>
      <c r="J96" s="61"/>
      <c r="K96" s="61"/>
      <c r="L96" s="61"/>
      <c r="P96" s="65" t="s">
        <v>122</v>
      </c>
      <c r="Q96" s="66"/>
      <c r="R96" s="66"/>
      <c r="S96" s="66"/>
    </row>
    <row r="97" spans="16:19" x14ac:dyDescent="0.25">
      <c r="P97" s="67"/>
      <c r="Q97" s="66"/>
      <c r="R97" s="66"/>
      <c r="S97" s="66"/>
    </row>
    <row r="98" spans="16:19" x14ac:dyDescent="0.25">
      <c r="P98" s="65" t="s">
        <v>123</v>
      </c>
      <c r="Q98" s="66"/>
      <c r="R98" s="66"/>
      <c r="S98" s="66"/>
    </row>
    <row r="99" spans="16:19" x14ac:dyDescent="0.25">
      <c r="P99" s="65" t="s">
        <v>124</v>
      </c>
      <c r="Q99" s="66"/>
      <c r="R99" s="66"/>
      <c r="S99" s="66"/>
    </row>
    <row r="100" spans="16:19" x14ac:dyDescent="0.25">
      <c r="P100" s="65" t="s">
        <v>118</v>
      </c>
      <c r="Q100" s="66"/>
      <c r="R100" s="66"/>
      <c r="S100" s="66"/>
    </row>
    <row r="101" spans="16:19" x14ac:dyDescent="0.25">
      <c r="P101" s="65" t="s">
        <v>125</v>
      </c>
      <c r="Q101" s="66"/>
      <c r="R101" s="66"/>
      <c r="S101" s="66"/>
    </row>
    <row r="102" spans="16:19" x14ac:dyDescent="0.25">
      <c r="P102" s="67"/>
      <c r="Q102" s="66"/>
      <c r="R102" s="66"/>
      <c r="S102" s="66"/>
    </row>
    <row r="103" spans="16:19" x14ac:dyDescent="0.25">
      <c r="P103" s="65" t="s">
        <v>126</v>
      </c>
      <c r="Q103" s="66"/>
      <c r="R103" s="66"/>
      <c r="S103" s="66"/>
    </row>
    <row r="104" spans="16:19" x14ac:dyDescent="0.25">
      <c r="P104" s="65" t="s">
        <v>127</v>
      </c>
      <c r="Q104" s="66"/>
      <c r="R104" s="66"/>
      <c r="S104" s="66"/>
    </row>
    <row r="105" spans="16:19" x14ac:dyDescent="0.25">
      <c r="P105" s="65" t="s">
        <v>118</v>
      </c>
      <c r="Q105" s="66"/>
      <c r="R105" s="66"/>
      <c r="S105" s="66"/>
    </row>
    <row r="106" spans="16:19" x14ac:dyDescent="0.25">
      <c r="P106" s="65" t="s">
        <v>128</v>
      </c>
      <c r="Q106" s="66"/>
      <c r="R106" s="66"/>
      <c r="S106" s="66"/>
    </row>
    <row r="107" spans="16:19" x14ac:dyDescent="0.25">
      <c r="P107" s="67"/>
      <c r="Q107" s="66"/>
      <c r="R107" s="66"/>
      <c r="S107" s="66"/>
    </row>
    <row r="108" spans="16:19" x14ac:dyDescent="0.25">
      <c r="P108" s="65" t="s">
        <v>129</v>
      </c>
      <c r="Q108" s="66"/>
      <c r="R108" s="66"/>
      <c r="S108" s="66"/>
    </row>
    <row r="109" spans="16:19" x14ac:dyDescent="0.25">
      <c r="P109" s="65" t="s">
        <v>130</v>
      </c>
      <c r="Q109" s="66"/>
      <c r="R109" s="66"/>
      <c r="S109" s="66"/>
    </row>
    <row r="110" spans="16:19" x14ac:dyDescent="0.25">
      <c r="P110" s="65" t="s">
        <v>118</v>
      </c>
      <c r="Q110" s="66"/>
      <c r="R110" s="66"/>
      <c r="S110" s="66"/>
    </row>
    <row r="111" spans="16:19" x14ac:dyDescent="0.25">
      <c r="P111" s="65" t="s">
        <v>131</v>
      </c>
      <c r="Q111" s="66"/>
      <c r="R111" s="66"/>
      <c r="S111" s="66"/>
    </row>
    <row r="112" spans="16:19" x14ac:dyDescent="0.25">
      <c r="P112" s="67"/>
      <c r="Q112" s="66"/>
      <c r="R112" s="66"/>
      <c r="S112" s="66"/>
    </row>
    <row r="113" spans="16:19" x14ac:dyDescent="0.25">
      <c r="P113" s="65" t="s">
        <v>132</v>
      </c>
      <c r="Q113" s="66"/>
      <c r="R113" s="66"/>
      <c r="S113" s="66"/>
    </row>
    <row r="114" spans="16:19" x14ac:dyDescent="0.25">
      <c r="P114" s="65" t="s">
        <v>133</v>
      </c>
      <c r="Q114" s="66"/>
      <c r="R114" s="66"/>
      <c r="S114" s="66"/>
    </row>
    <row r="115" spans="16:19" x14ac:dyDescent="0.25">
      <c r="P115" s="65" t="s">
        <v>118</v>
      </c>
      <c r="Q115" s="66"/>
      <c r="R115" s="66"/>
      <c r="S115" s="66"/>
    </row>
    <row r="116" spans="16:19" x14ac:dyDescent="0.25">
      <c r="P116" s="65" t="s">
        <v>134</v>
      </c>
      <c r="Q116" s="66"/>
      <c r="R116" s="66"/>
      <c r="S116" s="66"/>
    </row>
    <row r="117" spans="16:19" x14ac:dyDescent="0.25">
      <c r="P117" s="67"/>
      <c r="Q117" s="66"/>
      <c r="R117" s="66"/>
      <c r="S117" s="66"/>
    </row>
    <row r="118" spans="16:19" x14ac:dyDescent="0.25">
      <c r="P118" s="65" t="s">
        <v>135</v>
      </c>
      <c r="Q118" s="66"/>
      <c r="R118" s="66"/>
      <c r="S118" s="66"/>
    </row>
    <row r="119" spans="16:19" x14ac:dyDescent="0.25">
      <c r="P119" s="65" t="s">
        <v>136</v>
      </c>
      <c r="Q119" s="66"/>
      <c r="R119" s="66"/>
      <c r="S119" s="66"/>
    </row>
    <row r="120" spans="16:19" x14ac:dyDescent="0.25">
      <c r="P120" s="65" t="s">
        <v>118</v>
      </c>
      <c r="Q120" s="66"/>
      <c r="R120" s="66"/>
      <c r="S120" s="66"/>
    </row>
    <row r="121" spans="16:19" x14ac:dyDescent="0.25">
      <c r="P121" s="65" t="s">
        <v>137</v>
      </c>
      <c r="Q121" s="66"/>
      <c r="R121" s="66"/>
      <c r="S121" s="66"/>
    </row>
    <row r="122" spans="16:19" x14ac:dyDescent="0.25">
      <c r="P122" s="66"/>
      <c r="Q122" s="66"/>
      <c r="R122" s="66"/>
      <c r="S122" s="66"/>
    </row>
  </sheetData>
  <mergeCells count="7">
    <mergeCell ref="Z1:AC1"/>
    <mergeCell ref="A1:E1"/>
    <mergeCell ref="F1:I1"/>
    <mergeCell ref="J1:M1"/>
    <mergeCell ref="N1:Q1"/>
    <mergeCell ref="R1:U1"/>
    <mergeCell ref="V1:Y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22"/>
  <sheetViews>
    <sheetView topLeftCell="Y1" zoomScale="68" zoomScaleNormal="68" workbookViewId="0">
      <selection activeCell="S22" sqref="S22"/>
    </sheetView>
  </sheetViews>
  <sheetFormatPr baseColWidth="10" defaultRowHeight="15" x14ac:dyDescent="0.25"/>
  <cols>
    <col min="1" max="1" width="14.7109375" style="135" bestFit="1" customWidth="1"/>
    <col min="2" max="2" width="14" style="286" bestFit="1" customWidth="1"/>
    <col min="3" max="3" width="16.42578125" style="70" bestFit="1" customWidth="1"/>
    <col min="4" max="4" width="23.42578125" style="80" bestFit="1" customWidth="1"/>
    <col min="5" max="5" width="17.5703125" style="64" bestFit="1" customWidth="1"/>
    <col min="6" max="6" width="14.5703125" style="135" bestFit="1" customWidth="1"/>
    <col min="7" max="7" width="18" bestFit="1" customWidth="1"/>
    <col min="8" max="8" width="7.28515625" bestFit="1" customWidth="1"/>
    <col min="9" max="9" width="28.42578125" bestFit="1" customWidth="1"/>
    <col min="10" max="10" width="31.140625" bestFit="1" customWidth="1"/>
    <col min="11" max="11" width="31.85546875" bestFit="1" customWidth="1"/>
    <col min="12" max="12" width="42.28515625" bestFit="1" customWidth="1"/>
    <col min="13" max="13" width="18" bestFit="1" customWidth="1"/>
    <col min="14" max="14" width="10.5703125" bestFit="1" customWidth="1"/>
    <col min="15" max="15" width="17.5703125" bestFit="1" customWidth="1"/>
    <col min="16" max="16" width="16.5703125" bestFit="1" customWidth="1"/>
    <col min="17" max="17" width="28.42578125" bestFit="1" customWidth="1"/>
    <col min="18" max="18" width="15.42578125" customWidth="1"/>
    <col min="19" max="19" width="25" bestFit="1" customWidth="1"/>
    <col min="20" max="20" width="34.42578125" bestFit="1" customWidth="1"/>
    <col min="21" max="21" width="28.5703125" bestFit="1" customWidth="1"/>
    <col min="22" max="22" width="38.28515625" customWidth="1"/>
    <col min="23" max="23" width="18.42578125" customWidth="1"/>
    <col min="24" max="24" width="13.85546875" bestFit="1" customWidth="1"/>
    <col min="25" max="25" width="13.42578125" bestFit="1" customWidth="1"/>
    <col min="26" max="26" width="14.42578125" bestFit="1" customWidth="1"/>
    <col min="27" max="27" width="15.85546875" bestFit="1" customWidth="1"/>
    <col min="29" max="29" width="22.85546875" bestFit="1" customWidth="1"/>
    <col min="30" max="30" width="18.5703125" customWidth="1"/>
    <col min="31" max="31" width="22.85546875" customWidth="1"/>
    <col min="32" max="32" width="24" customWidth="1"/>
    <col min="34" max="34" width="13.42578125" customWidth="1"/>
  </cols>
  <sheetData>
    <row r="1" spans="1:37" s="69" customFormat="1" ht="18.75" customHeight="1" thickBot="1" x14ac:dyDescent="0.35">
      <c r="A1" s="105" t="s">
        <v>57</v>
      </c>
      <c r="B1" s="106" t="s">
        <v>255</v>
      </c>
      <c r="C1" s="107" t="s">
        <v>310</v>
      </c>
      <c r="D1" s="108" t="s">
        <v>312</v>
      </c>
      <c r="E1" s="108" t="s">
        <v>313</v>
      </c>
      <c r="F1" s="105" t="s">
        <v>281</v>
      </c>
      <c r="G1" s="114" t="s">
        <v>314</v>
      </c>
      <c r="H1" s="116" t="s">
        <v>45</v>
      </c>
      <c r="I1" s="116" t="s">
        <v>311</v>
      </c>
      <c r="J1" s="117" t="s">
        <v>402</v>
      </c>
      <c r="K1" s="117" t="s">
        <v>316</v>
      </c>
      <c r="L1" s="117" t="s">
        <v>360</v>
      </c>
      <c r="M1" s="116" t="s">
        <v>361</v>
      </c>
      <c r="N1"/>
      <c r="O1"/>
      <c r="P1" s="87"/>
      <c r="Q1" s="87"/>
      <c r="R1" s="87"/>
      <c r="S1" s="87"/>
      <c r="T1" s="87"/>
      <c r="U1" s="87"/>
      <c r="V1" s="87"/>
      <c r="W1" s="87"/>
      <c r="X1" s="87"/>
      <c r="Y1" s="125"/>
      <c r="Z1"/>
      <c r="AA1"/>
      <c r="AB1"/>
      <c r="AC1"/>
      <c r="AD1"/>
      <c r="AE1"/>
      <c r="AF1"/>
      <c r="AG1"/>
      <c r="AH1"/>
      <c r="AI1"/>
      <c r="AJ1"/>
      <c r="AK1"/>
    </row>
    <row r="2" spans="1:37" ht="18" customHeight="1" thickBot="1" x14ac:dyDescent="0.35">
      <c r="A2" s="283" t="s">
        <v>147</v>
      </c>
      <c r="B2" s="156">
        <v>100</v>
      </c>
      <c r="C2" s="156">
        <v>0</v>
      </c>
      <c r="D2" s="77">
        <v>0</v>
      </c>
      <c r="E2" s="76" t="str">
        <f t="shared" ref="E2:E33" si="0">IF(AND(C2&gt;=0,D2&gt;=0),"incrementa","decrementa")</f>
        <v>incrementa</v>
      </c>
      <c r="F2" s="136">
        <f>IF(B2&lt;=$Q$42,1,IF(B2&lt;=$Q$43,2,IF(B2&lt;=$Q$44,3,IF(B2&lt;=$Q$45,4))))</f>
        <v>1</v>
      </c>
      <c r="G2" s="119" t="s">
        <v>158</v>
      </c>
      <c r="H2" s="115">
        <v>2016</v>
      </c>
      <c r="I2" s="159">
        <f>B13+0</f>
        <v>106.95</v>
      </c>
      <c r="J2" s="160"/>
      <c r="K2" s="160">
        <v>0.13</v>
      </c>
      <c r="L2" s="227">
        <f>K2-J2</f>
        <v>0.13</v>
      </c>
      <c r="M2" s="115" t="str">
        <f>IF(AND(K2&gt;=1%,L2&gt;=1%),"subio mas","menos")</f>
        <v>subio mas</v>
      </c>
      <c r="P2" s="83"/>
      <c r="Q2" s="83"/>
      <c r="R2" s="83"/>
      <c r="S2" s="153" t="s">
        <v>325</v>
      </c>
      <c r="T2" s="154"/>
      <c r="U2" s="546" t="s">
        <v>257</v>
      </c>
      <c r="V2" s="546"/>
      <c r="W2" s="546"/>
      <c r="X2" s="83"/>
      <c r="Y2" s="82"/>
    </row>
    <row r="3" spans="1:37" ht="18.75" customHeight="1" thickBot="1" x14ac:dyDescent="0.35">
      <c r="A3" s="284" t="s">
        <v>148</v>
      </c>
      <c r="B3" s="157">
        <v>100.75</v>
      </c>
      <c r="C3" s="157">
        <f>B3-B2</f>
        <v>0.75</v>
      </c>
      <c r="D3" s="78">
        <f>(B3-B2)/B2*100</f>
        <v>0.75</v>
      </c>
      <c r="E3" s="76" t="str">
        <f t="shared" si="0"/>
        <v>incrementa</v>
      </c>
      <c r="F3" s="136">
        <f t="shared" ref="F3:F66" si="1">IF(B3&lt;=$Q$42,1,IF(B3&lt;=$Q$43,2,IF(B3&lt;=$Q$44,3,IF(B3&lt;=$Q$45,4))))</f>
        <v>1</v>
      </c>
      <c r="G3" s="120" t="s">
        <v>170</v>
      </c>
      <c r="H3" s="115">
        <f>H2+1</f>
        <v>2017</v>
      </c>
      <c r="I3" s="159">
        <f>B25+0</f>
        <v>103.59</v>
      </c>
      <c r="J3" s="161">
        <f>(I3-I2)/I2</f>
        <v>-3.1416549789621315E-2</v>
      </c>
      <c r="K3" s="160">
        <v>0.11</v>
      </c>
      <c r="L3" s="227">
        <f t="shared" ref="L3:L10" si="2">K3-J3</f>
        <v>0.14141654978962132</v>
      </c>
      <c r="M3" s="115" t="str">
        <f t="shared" ref="M3:M10" si="3">IF(AND(K3&gt;=1%,L3&gt;=1%),"subio mas","menos")</f>
        <v>subio mas</v>
      </c>
      <c r="P3" s="98" t="s">
        <v>262</v>
      </c>
      <c r="Q3" s="98" t="s">
        <v>311</v>
      </c>
      <c r="R3" s="83"/>
      <c r="S3" s="151"/>
      <c r="T3" s="151"/>
      <c r="U3" s="83" t="s">
        <v>265</v>
      </c>
      <c r="V3" s="129">
        <v>1.6257999999999999</v>
      </c>
      <c r="W3" s="83"/>
      <c r="X3" s="83"/>
      <c r="Y3" s="82"/>
    </row>
    <row r="4" spans="1:37" ht="18" customHeight="1" thickBot="1" x14ac:dyDescent="0.35">
      <c r="A4" s="284" t="s">
        <v>149</v>
      </c>
      <c r="B4" s="157">
        <v>100.86</v>
      </c>
      <c r="C4" s="157">
        <f t="shared" ref="C4:C67" si="4">B4-B3</f>
        <v>0.10999999999999943</v>
      </c>
      <c r="D4" s="78">
        <f t="shared" ref="D4:D67" si="5">(B4-B3)/B3*100</f>
        <v>0.10918114143920539</v>
      </c>
      <c r="E4" s="76" t="str">
        <f t="shared" si="0"/>
        <v>incrementa</v>
      </c>
      <c r="F4" s="136">
        <f t="shared" si="1"/>
        <v>1</v>
      </c>
      <c r="G4" s="120" t="s">
        <v>182</v>
      </c>
      <c r="H4" s="115">
        <f t="shared" ref="H4:H10" si="6">H3+1</f>
        <v>2018</v>
      </c>
      <c r="I4" s="159">
        <f>B37+0</f>
        <v>104.04</v>
      </c>
      <c r="J4" s="162">
        <f t="shared" ref="J4:J10" si="7">(I4-I3)/I3</f>
        <v>4.3440486533449446E-3</v>
      </c>
      <c r="K4" s="160">
        <v>0.12</v>
      </c>
      <c r="L4" s="227">
        <f t="shared" si="2"/>
        <v>0.11565595134665504</v>
      </c>
      <c r="M4" s="115" t="str">
        <f t="shared" si="3"/>
        <v>subio mas</v>
      </c>
      <c r="P4" s="72">
        <v>2016</v>
      </c>
      <c r="Q4" s="155">
        <v>106.95</v>
      </c>
      <c r="R4" s="173" t="str">
        <f>"MAX="&amp;MAX(Q4:Q12)</f>
        <v>MAX=116,26</v>
      </c>
      <c r="S4" s="152" t="s">
        <v>294</v>
      </c>
      <c r="T4" s="152">
        <v>108.06222222222223</v>
      </c>
      <c r="U4" s="83" t="s">
        <v>266</v>
      </c>
      <c r="V4">
        <v>3176.1</v>
      </c>
      <c r="W4" s="83"/>
      <c r="X4" s="83"/>
      <c r="Y4" s="82"/>
    </row>
    <row r="5" spans="1:37" ht="19.5" thickBot="1" x14ac:dyDescent="0.35">
      <c r="A5" s="284" t="s">
        <v>150</v>
      </c>
      <c r="B5" s="157">
        <v>101.76</v>
      </c>
      <c r="C5" s="157">
        <f t="shared" si="4"/>
        <v>0.90000000000000568</v>
      </c>
      <c r="D5" s="78">
        <f t="shared" si="5"/>
        <v>0.89232599643070176</v>
      </c>
      <c r="E5" s="76" t="str">
        <f t="shared" si="0"/>
        <v>incrementa</v>
      </c>
      <c r="F5" s="136">
        <f t="shared" si="1"/>
        <v>1</v>
      </c>
      <c r="G5" s="120" t="s">
        <v>194</v>
      </c>
      <c r="H5" s="115">
        <f t="shared" si="6"/>
        <v>2019</v>
      </c>
      <c r="I5" s="159">
        <f>B49+0</f>
        <v>100.65</v>
      </c>
      <c r="J5" s="161">
        <f t="shared" si="7"/>
        <v>-3.2583621683967709E-2</v>
      </c>
      <c r="K5" s="160">
        <v>0.08</v>
      </c>
      <c r="L5" s="227">
        <f t="shared" si="2"/>
        <v>0.11258362168396771</v>
      </c>
      <c r="M5" s="115" t="str">
        <f t="shared" si="3"/>
        <v>subio mas</v>
      </c>
      <c r="O5" s="213"/>
      <c r="P5" s="72">
        <f t="shared" ref="P5:P12" si="8">P4+1</f>
        <v>2017</v>
      </c>
      <c r="Q5" s="155">
        <v>103.59</v>
      </c>
      <c r="R5" s="174" t="str">
        <f>"MIN="&amp;MIN(Q4:Q12)</f>
        <v>MIN=100,65</v>
      </c>
      <c r="S5" s="152" t="s">
        <v>295</v>
      </c>
      <c r="T5" s="152">
        <v>1.8503504005831621</v>
      </c>
      <c r="U5" s="83" t="s">
        <v>258</v>
      </c>
      <c r="V5" s="83">
        <v>9</v>
      </c>
      <c r="W5" s="83"/>
      <c r="X5" s="83"/>
      <c r="Y5" s="82"/>
    </row>
    <row r="6" spans="1:37" ht="19.5" thickBot="1" x14ac:dyDescent="0.35">
      <c r="A6" s="284" t="s">
        <v>151</v>
      </c>
      <c r="B6" s="157">
        <v>103.57</v>
      </c>
      <c r="C6" s="157">
        <f t="shared" si="4"/>
        <v>1.8099999999999881</v>
      </c>
      <c r="D6" s="78">
        <f t="shared" si="5"/>
        <v>1.7786949685534472</v>
      </c>
      <c r="E6" s="76" t="str">
        <f t="shared" si="0"/>
        <v>incrementa</v>
      </c>
      <c r="F6" s="136">
        <f t="shared" si="1"/>
        <v>1</v>
      </c>
      <c r="G6" s="120" t="s">
        <v>206</v>
      </c>
      <c r="H6" s="115">
        <f t="shared" si="6"/>
        <v>2020</v>
      </c>
      <c r="I6" s="159">
        <f>B61+0</f>
        <v>104.35</v>
      </c>
      <c r="J6" s="162">
        <f t="shared" si="7"/>
        <v>3.6761053154495661E-2</v>
      </c>
      <c r="K6" s="162">
        <v>0.06</v>
      </c>
      <c r="L6" s="227">
        <f t="shared" si="2"/>
        <v>2.3238946845504337E-2</v>
      </c>
      <c r="M6" s="115" t="str">
        <f t="shared" si="3"/>
        <v>subio mas</v>
      </c>
      <c r="P6" s="72">
        <f t="shared" si="8"/>
        <v>2018</v>
      </c>
      <c r="Q6" s="155">
        <v>104.04</v>
      </c>
      <c r="R6" s="83"/>
      <c r="S6" s="152" t="s">
        <v>296</v>
      </c>
      <c r="T6" s="152">
        <v>106.95</v>
      </c>
      <c r="U6" s="546" t="s">
        <v>256</v>
      </c>
      <c r="V6" s="546"/>
      <c r="W6" s="546"/>
      <c r="X6" s="83"/>
      <c r="Y6" s="82"/>
    </row>
    <row r="7" spans="1:37" ht="19.5" thickBot="1" x14ac:dyDescent="0.35">
      <c r="A7" s="284" t="s">
        <v>152</v>
      </c>
      <c r="B7" s="157">
        <v>103.59</v>
      </c>
      <c r="C7" s="157">
        <f t="shared" si="4"/>
        <v>2.0000000000010232E-2</v>
      </c>
      <c r="D7" s="78">
        <f t="shared" si="5"/>
        <v>1.9310611180853754E-2</v>
      </c>
      <c r="E7" s="76" t="str">
        <f t="shared" si="0"/>
        <v>incrementa</v>
      </c>
      <c r="F7" s="136">
        <f t="shared" si="1"/>
        <v>1</v>
      </c>
      <c r="G7" s="120" t="s">
        <v>218</v>
      </c>
      <c r="H7" s="115">
        <f t="shared" si="6"/>
        <v>2021</v>
      </c>
      <c r="I7" s="159">
        <f>B73+0</f>
        <v>108.76</v>
      </c>
      <c r="J7" s="162">
        <f t="shared" si="7"/>
        <v>4.2261619549592823E-2</v>
      </c>
      <c r="K7" s="160">
        <v>0.19</v>
      </c>
      <c r="L7" s="227">
        <f t="shared" si="2"/>
        <v>0.14773838045040719</v>
      </c>
      <c r="M7" s="115" t="str">
        <f t="shared" si="3"/>
        <v>subio mas</v>
      </c>
      <c r="P7" s="72">
        <f t="shared" si="8"/>
        <v>2019</v>
      </c>
      <c r="Q7" s="155">
        <v>100.65</v>
      </c>
      <c r="R7" s="83"/>
      <c r="S7" s="152" t="s">
        <v>297</v>
      </c>
      <c r="T7" s="152" t="e">
        <v>#N/A</v>
      </c>
      <c r="U7" s="547" t="s">
        <v>260</v>
      </c>
      <c r="V7" s="547"/>
      <c r="W7" s="547"/>
      <c r="X7" s="83"/>
      <c r="Y7" s="82"/>
    </row>
    <row r="8" spans="1:37" ht="19.5" thickBot="1" x14ac:dyDescent="0.35">
      <c r="A8" s="284" t="s">
        <v>153</v>
      </c>
      <c r="B8" s="157">
        <v>103.6</v>
      </c>
      <c r="C8" s="157">
        <f t="shared" si="4"/>
        <v>9.9999999999909051E-3</v>
      </c>
      <c r="D8" s="78">
        <f t="shared" si="5"/>
        <v>9.6534414518688137E-3</v>
      </c>
      <c r="E8" s="76" t="str">
        <f t="shared" si="0"/>
        <v>incrementa</v>
      </c>
      <c r="F8" s="136">
        <f t="shared" si="1"/>
        <v>1</v>
      </c>
      <c r="G8" s="120" t="s">
        <v>230</v>
      </c>
      <c r="H8" s="115">
        <f t="shared" si="6"/>
        <v>2022</v>
      </c>
      <c r="I8" s="159">
        <f>B85+0</f>
        <v>112.83</v>
      </c>
      <c r="J8" s="162">
        <f t="shared" si="7"/>
        <v>3.7421846267009867E-2</v>
      </c>
      <c r="K8" s="160">
        <v>0.21</v>
      </c>
      <c r="L8" s="227">
        <f t="shared" si="2"/>
        <v>0.17257815373299012</v>
      </c>
      <c r="M8" s="115" t="str">
        <f t="shared" si="3"/>
        <v>subio mas</v>
      </c>
      <c r="P8" s="72">
        <f t="shared" si="8"/>
        <v>2020</v>
      </c>
      <c r="Q8" s="155">
        <v>104.35</v>
      </c>
      <c r="R8" s="83"/>
      <c r="S8" s="152" t="s">
        <v>298</v>
      </c>
      <c r="T8" s="152">
        <v>5.5510512017494866</v>
      </c>
      <c r="U8" s="95">
        <f>V5*V3+V4</f>
        <v>3190.7321999999999</v>
      </c>
      <c r="V8" s="83"/>
      <c r="W8" s="83"/>
      <c r="X8" s="83"/>
      <c r="Y8" s="82"/>
    </row>
    <row r="9" spans="1:37" ht="19.5" thickBot="1" x14ac:dyDescent="0.35">
      <c r="A9" s="284" t="s">
        <v>154</v>
      </c>
      <c r="B9" s="157">
        <v>105.5</v>
      </c>
      <c r="C9" s="157">
        <f t="shared" si="4"/>
        <v>1.9000000000000057</v>
      </c>
      <c r="D9" s="78">
        <f t="shared" si="5"/>
        <v>1.8339768339768396</v>
      </c>
      <c r="E9" s="76" t="str">
        <f t="shared" si="0"/>
        <v>incrementa</v>
      </c>
      <c r="F9" s="136">
        <f t="shared" si="1"/>
        <v>2</v>
      </c>
      <c r="G9" s="120" t="s">
        <v>242</v>
      </c>
      <c r="H9" s="115">
        <f t="shared" si="6"/>
        <v>2023</v>
      </c>
      <c r="I9" s="159">
        <f>B97+0</f>
        <v>115.13</v>
      </c>
      <c r="J9" s="162">
        <f t="shared" si="7"/>
        <v>2.0384649472657956E-2</v>
      </c>
      <c r="K9" s="160">
        <v>0.23</v>
      </c>
      <c r="L9" s="227">
        <f t="shared" si="2"/>
        <v>0.20961535052734206</v>
      </c>
      <c r="M9" s="115" t="str">
        <f t="shared" si="3"/>
        <v>subio mas</v>
      </c>
      <c r="P9" s="72">
        <f t="shared" si="8"/>
        <v>2021</v>
      </c>
      <c r="Q9" s="155">
        <v>108.76</v>
      </c>
      <c r="R9" s="83"/>
      <c r="S9" s="152" t="s">
        <v>299</v>
      </c>
      <c r="T9" s="152">
        <v>30.814169444444424</v>
      </c>
      <c r="U9" s="83"/>
      <c r="V9" s="83"/>
      <c r="W9" s="83"/>
      <c r="X9" s="83"/>
      <c r="Y9" s="82"/>
    </row>
    <row r="10" spans="1:37" ht="19.5" thickBot="1" x14ac:dyDescent="0.35">
      <c r="A10" s="284" t="s">
        <v>155</v>
      </c>
      <c r="B10" s="157">
        <v>106.57</v>
      </c>
      <c r="C10" s="157">
        <f t="shared" si="4"/>
        <v>1.0699999999999932</v>
      </c>
      <c r="D10" s="78">
        <f t="shared" si="5"/>
        <v>1.0142180094786666</v>
      </c>
      <c r="E10" s="76" t="str">
        <f t="shared" si="0"/>
        <v>incrementa</v>
      </c>
      <c r="F10" s="136">
        <f t="shared" si="1"/>
        <v>2</v>
      </c>
      <c r="G10" s="121" t="s">
        <v>254</v>
      </c>
      <c r="H10" s="115">
        <f t="shared" si="6"/>
        <v>2024</v>
      </c>
      <c r="I10" s="159">
        <f>B109+0</f>
        <v>116.26</v>
      </c>
      <c r="J10" s="162">
        <f t="shared" si="7"/>
        <v>9.8149917484583495E-3</v>
      </c>
      <c r="K10" s="160">
        <v>0.19</v>
      </c>
      <c r="L10" s="227">
        <f t="shared" si="2"/>
        <v>0.18018500825154166</v>
      </c>
      <c r="M10" s="115" t="str">
        <f t="shared" si="3"/>
        <v>subio mas</v>
      </c>
      <c r="P10" s="72">
        <f t="shared" si="8"/>
        <v>2022</v>
      </c>
      <c r="Q10" s="155">
        <v>112.83</v>
      </c>
      <c r="R10" s="83"/>
      <c r="S10" s="152" t="s">
        <v>300</v>
      </c>
      <c r="T10" s="152">
        <v>-1.355393827873745</v>
      </c>
      <c r="U10" s="74">
        <v>116.26</v>
      </c>
      <c r="V10" s="548" t="s">
        <v>317</v>
      </c>
      <c r="W10" s="548"/>
      <c r="X10" s="83"/>
      <c r="Y10" s="82"/>
    </row>
    <row r="11" spans="1:37" ht="19.5" thickBot="1" x14ac:dyDescent="0.35">
      <c r="A11" s="284" t="s">
        <v>156</v>
      </c>
      <c r="B11" s="157">
        <v>106.34</v>
      </c>
      <c r="C11" s="157">
        <f t="shared" si="4"/>
        <v>-0.22999999999998977</v>
      </c>
      <c r="D11" s="111">
        <f t="shared" si="5"/>
        <v>-0.21582058740732832</v>
      </c>
      <c r="E11" s="76" t="str">
        <f t="shared" si="0"/>
        <v>decrementa</v>
      </c>
      <c r="F11" s="136">
        <f t="shared" si="1"/>
        <v>2</v>
      </c>
      <c r="G11" s="122" t="s">
        <v>315</v>
      </c>
      <c r="H11" s="118"/>
      <c r="I11" s="123">
        <f>AVERAGE(I2:I10)</f>
        <v>108.06222222222223</v>
      </c>
      <c r="J11" s="124">
        <f>AVERAGE(J2:J10)</f>
        <v>1.0873504671496321E-2</v>
      </c>
      <c r="K11" s="124">
        <f>AVERAGE(K2:K10)</f>
        <v>0.14666666666666664</v>
      </c>
      <c r="L11" s="124">
        <f>AVERAGE(L2:L10)</f>
        <v>0.13700132918089217</v>
      </c>
      <c r="M11" s="228"/>
      <c r="N11" s="83"/>
      <c r="O11" s="83"/>
      <c r="P11" s="72">
        <f t="shared" si="8"/>
        <v>2023</v>
      </c>
      <c r="Q11" s="155">
        <v>115.13</v>
      </c>
      <c r="R11" s="83"/>
      <c r="S11" s="152" t="s">
        <v>301</v>
      </c>
      <c r="T11" s="152">
        <v>0.37433495796848776</v>
      </c>
      <c r="U11" s="83"/>
      <c r="V11" s="83"/>
      <c r="W11" s="83"/>
      <c r="X11" s="83"/>
      <c r="Y11" s="82"/>
    </row>
    <row r="12" spans="1:37" ht="19.5" thickBot="1" x14ac:dyDescent="0.35">
      <c r="A12" s="284" t="s">
        <v>157</v>
      </c>
      <c r="B12" s="157">
        <v>107.18</v>
      </c>
      <c r="C12" s="157">
        <f t="shared" si="4"/>
        <v>0.84000000000000341</v>
      </c>
      <c r="D12" s="78">
        <f t="shared" si="5"/>
        <v>0.7899191273274434</v>
      </c>
      <c r="E12" s="76" t="str">
        <f t="shared" si="0"/>
        <v>incrementa</v>
      </c>
      <c r="F12" s="136">
        <f t="shared" si="1"/>
        <v>2</v>
      </c>
      <c r="K12" s="213"/>
      <c r="N12" s="73"/>
      <c r="O12" s="83"/>
      <c r="P12" s="72">
        <f t="shared" si="8"/>
        <v>2024</v>
      </c>
      <c r="Q12" s="155">
        <v>116.26</v>
      </c>
      <c r="R12" s="83"/>
      <c r="S12" s="152" t="s">
        <v>302</v>
      </c>
      <c r="T12" s="152">
        <v>15.61</v>
      </c>
      <c r="U12" s="128">
        <f>U8-U10</f>
        <v>3074.4721999999997</v>
      </c>
      <c r="V12" s="548" t="s">
        <v>261</v>
      </c>
      <c r="W12" s="548"/>
      <c r="X12" s="83"/>
      <c r="Y12" s="82"/>
    </row>
    <row r="13" spans="1:37" ht="19.5" thickBot="1" x14ac:dyDescent="0.35">
      <c r="A13" s="285" t="s">
        <v>158</v>
      </c>
      <c r="B13" s="158">
        <v>106.95</v>
      </c>
      <c r="C13" s="158">
        <f t="shared" si="4"/>
        <v>-0.23000000000000398</v>
      </c>
      <c r="D13" s="112">
        <f t="shared" si="5"/>
        <v>-0.21459227467811529</v>
      </c>
      <c r="E13" s="76" t="str">
        <f t="shared" si="0"/>
        <v>decrementa</v>
      </c>
      <c r="F13" s="136">
        <f t="shared" si="1"/>
        <v>2</v>
      </c>
      <c r="N13" s="73"/>
      <c r="O13" s="83"/>
      <c r="P13" s="131" t="s">
        <v>93</v>
      </c>
      <c r="Q13" s="169">
        <f>AVERAGE(Q4:Q12)</f>
        <v>108.06222222222223</v>
      </c>
      <c r="R13" s="83"/>
      <c r="S13" s="152" t="s">
        <v>303</v>
      </c>
      <c r="T13" s="152">
        <v>100.65</v>
      </c>
      <c r="U13" s="83"/>
      <c r="V13" s="83"/>
      <c r="W13" s="83"/>
      <c r="X13" s="83"/>
      <c r="Y13" s="82"/>
    </row>
    <row r="14" spans="1:37" ht="15.75" customHeight="1" thickBot="1" x14ac:dyDescent="0.35">
      <c r="A14" s="283" t="s">
        <v>159</v>
      </c>
      <c r="B14" s="156">
        <v>106.72</v>
      </c>
      <c r="C14" s="156">
        <f t="shared" si="4"/>
        <v>-0.23000000000000398</v>
      </c>
      <c r="D14" s="113">
        <f t="shared" si="5"/>
        <v>-0.21505376344086394</v>
      </c>
      <c r="E14" s="76" t="str">
        <f t="shared" si="0"/>
        <v>decrementa</v>
      </c>
      <c r="F14" s="136">
        <f t="shared" si="1"/>
        <v>2</v>
      </c>
      <c r="N14" s="73"/>
      <c r="O14" s="83"/>
      <c r="P14" s="83"/>
      <c r="Q14" s="83"/>
      <c r="R14" s="83"/>
      <c r="S14" s="152" t="s">
        <v>304</v>
      </c>
      <c r="T14" s="152">
        <v>116.26</v>
      </c>
      <c r="U14" s="83"/>
      <c r="V14" s="83"/>
      <c r="W14" s="83"/>
      <c r="X14" s="83"/>
      <c r="Y14" s="82"/>
    </row>
    <row r="15" spans="1:37" ht="15.75" customHeight="1" thickBot="1" x14ac:dyDescent="0.35">
      <c r="A15" s="284" t="s">
        <v>160</v>
      </c>
      <c r="B15" s="157">
        <v>107.24</v>
      </c>
      <c r="C15" s="157">
        <f t="shared" si="4"/>
        <v>0.51999999999999602</v>
      </c>
      <c r="D15" s="78">
        <f t="shared" si="5"/>
        <v>0.48725637181408921</v>
      </c>
      <c r="E15" s="76" t="str">
        <f t="shared" si="0"/>
        <v>incrementa</v>
      </c>
      <c r="F15" s="136">
        <f t="shared" si="1"/>
        <v>2</v>
      </c>
      <c r="N15" s="73"/>
      <c r="O15" s="83"/>
      <c r="P15" s="83"/>
      <c r="Q15" s="83"/>
      <c r="R15" s="83"/>
      <c r="S15" s="152" t="s">
        <v>305</v>
      </c>
      <c r="T15" s="152">
        <v>972.56000000000006</v>
      </c>
      <c r="U15" s="83"/>
      <c r="V15" s="83"/>
      <c r="W15" s="83"/>
      <c r="X15" s="83"/>
      <c r="Y15" s="82"/>
    </row>
    <row r="16" spans="1:37" ht="19.5" thickBot="1" x14ac:dyDescent="0.35">
      <c r="A16" s="284" t="s">
        <v>161</v>
      </c>
      <c r="B16" s="157">
        <v>105.46</v>
      </c>
      <c r="C16" s="157">
        <f t="shared" si="4"/>
        <v>-1.7800000000000011</v>
      </c>
      <c r="D16" s="111">
        <f t="shared" si="5"/>
        <v>-1.659828422230512</v>
      </c>
      <c r="E16" s="76" t="str">
        <f t="shared" si="0"/>
        <v>decrementa</v>
      </c>
      <c r="F16" s="136">
        <f t="shared" si="1"/>
        <v>2</v>
      </c>
      <c r="N16" s="73"/>
      <c r="O16" s="83"/>
      <c r="P16" s="83"/>
      <c r="Q16" s="83"/>
      <c r="R16" s="83"/>
      <c r="S16" s="152" t="s">
        <v>306</v>
      </c>
      <c r="T16" s="152">
        <v>9</v>
      </c>
      <c r="U16" s="83"/>
      <c r="V16" s="83"/>
      <c r="W16" s="83"/>
      <c r="X16" s="83"/>
      <c r="Y16" s="82"/>
    </row>
    <row r="17" spans="1:25" ht="19.5" thickBot="1" x14ac:dyDescent="0.35">
      <c r="A17" s="284" t="s">
        <v>162</v>
      </c>
      <c r="B17" s="157">
        <v>103.91</v>
      </c>
      <c r="C17" s="157">
        <f t="shared" si="4"/>
        <v>-1.5499999999999972</v>
      </c>
      <c r="D17" s="111">
        <f t="shared" si="5"/>
        <v>-1.4697515645742434</v>
      </c>
      <c r="E17" s="76" t="str">
        <f t="shared" si="0"/>
        <v>decrementa</v>
      </c>
      <c r="F17" s="136">
        <f t="shared" si="1"/>
        <v>1</v>
      </c>
      <c r="N17" s="73"/>
      <c r="O17" s="83"/>
      <c r="P17" s="83"/>
      <c r="Q17" s="83"/>
      <c r="R17" s="83"/>
      <c r="S17" s="152" t="s">
        <v>307</v>
      </c>
      <c r="T17" s="152">
        <v>116.26</v>
      </c>
      <c r="U17" s="83"/>
      <c r="V17" s="83"/>
      <c r="W17" s="83"/>
      <c r="X17" s="83"/>
      <c r="Y17" s="82"/>
    </row>
    <row r="18" spans="1:25" ht="19.5" thickBot="1" x14ac:dyDescent="0.35">
      <c r="A18" s="284" t="s">
        <v>163</v>
      </c>
      <c r="B18" s="157">
        <v>103.58</v>
      </c>
      <c r="C18" s="157">
        <f t="shared" si="4"/>
        <v>-0.32999999999999829</v>
      </c>
      <c r="D18" s="111">
        <f t="shared" si="5"/>
        <v>-0.31758252333750198</v>
      </c>
      <c r="E18" s="76" t="str">
        <f t="shared" si="0"/>
        <v>decrementa</v>
      </c>
      <c r="F18" s="136">
        <f t="shared" si="1"/>
        <v>1</v>
      </c>
      <c r="N18" s="73"/>
      <c r="O18" s="83"/>
      <c r="P18" s="83"/>
      <c r="Q18" s="83"/>
      <c r="R18" s="83"/>
      <c r="S18" s="152" t="s">
        <v>308</v>
      </c>
      <c r="T18" s="152">
        <v>100.65</v>
      </c>
      <c r="U18" s="83"/>
      <c r="V18" s="83"/>
      <c r="W18" s="83"/>
      <c r="X18" s="83"/>
      <c r="Y18" s="82"/>
    </row>
    <row r="19" spans="1:25" ht="19.5" thickBot="1" x14ac:dyDescent="0.35">
      <c r="A19" s="284" t="s">
        <v>164</v>
      </c>
      <c r="B19" s="157">
        <v>102.79</v>
      </c>
      <c r="C19" s="157">
        <f t="shared" si="4"/>
        <v>-0.78999999999999204</v>
      </c>
      <c r="D19" s="111">
        <f t="shared" si="5"/>
        <v>-0.76269550106197337</v>
      </c>
      <c r="E19" s="76" t="str">
        <f t="shared" si="0"/>
        <v>decrementa</v>
      </c>
      <c r="F19" s="136">
        <f t="shared" si="1"/>
        <v>1</v>
      </c>
      <c r="N19" s="73"/>
      <c r="O19" s="83"/>
      <c r="P19" s="83"/>
      <c r="Q19" s="83"/>
      <c r="R19" s="83"/>
      <c r="S19" s="218" t="s">
        <v>309</v>
      </c>
      <c r="T19" s="218">
        <v>4.2669156753214574</v>
      </c>
      <c r="U19" s="83"/>
      <c r="V19" s="83"/>
      <c r="W19" s="83"/>
      <c r="X19" s="83"/>
      <c r="Y19" s="82"/>
    </row>
    <row r="20" spans="1:25" ht="32.25" thickBot="1" x14ac:dyDescent="0.55000000000000004">
      <c r="A20" s="284" t="s">
        <v>165</v>
      </c>
      <c r="B20" s="157">
        <v>103.37</v>
      </c>
      <c r="C20" s="157">
        <f t="shared" si="4"/>
        <v>0.57999999999999829</v>
      </c>
      <c r="D20" s="78">
        <f t="shared" si="5"/>
        <v>0.56425722346531593</v>
      </c>
      <c r="E20" s="76" t="str">
        <f t="shared" si="0"/>
        <v>incrementa</v>
      </c>
      <c r="F20" s="136">
        <f t="shared" si="1"/>
        <v>1</v>
      </c>
      <c r="N20" s="536" t="s">
        <v>271</v>
      </c>
      <c r="O20" s="537"/>
      <c r="P20" s="537"/>
      <c r="Q20" s="537"/>
      <c r="R20" s="537"/>
      <c r="S20" s="537"/>
      <c r="T20" s="537"/>
      <c r="U20" s="537"/>
      <c r="V20" s="537"/>
      <c r="W20" s="537"/>
      <c r="X20" s="537"/>
      <c r="Y20" s="538"/>
    </row>
    <row r="21" spans="1:25" ht="19.5" thickBot="1" x14ac:dyDescent="0.35">
      <c r="A21" s="284" t="s">
        <v>166</v>
      </c>
      <c r="B21" s="157">
        <v>102.69</v>
      </c>
      <c r="C21" s="157">
        <f t="shared" si="4"/>
        <v>-0.68000000000000682</v>
      </c>
      <c r="D21" s="111">
        <f t="shared" si="5"/>
        <v>-0.65783109219309943</v>
      </c>
      <c r="E21" s="76" t="str">
        <f t="shared" si="0"/>
        <v>decrementa</v>
      </c>
      <c r="F21" s="136">
        <f t="shared" si="1"/>
        <v>1</v>
      </c>
      <c r="N21" s="7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2"/>
    </row>
    <row r="22" spans="1:25" ht="19.5" thickBot="1" x14ac:dyDescent="0.35">
      <c r="A22" s="284" t="s">
        <v>167</v>
      </c>
      <c r="B22" s="157">
        <v>101.5</v>
      </c>
      <c r="C22" s="157">
        <f t="shared" si="4"/>
        <v>-1.1899999999999977</v>
      </c>
      <c r="D22" s="111">
        <f t="shared" si="5"/>
        <v>-1.1588275391956351</v>
      </c>
      <c r="E22" s="76" t="str">
        <f t="shared" si="0"/>
        <v>decrementa</v>
      </c>
      <c r="F22" s="136">
        <f t="shared" si="1"/>
        <v>1</v>
      </c>
      <c r="N22" s="73"/>
      <c r="O22" s="83"/>
      <c r="P22" s="179" t="s">
        <v>263</v>
      </c>
      <c r="Q22" s="180">
        <f>MIN(B:B)</f>
        <v>100</v>
      </c>
      <c r="R22" s="83"/>
      <c r="S22" s="83"/>
      <c r="T22" s="83"/>
      <c r="U22" s="83"/>
      <c r="V22" s="83"/>
      <c r="W22" s="83"/>
      <c r="X22" s="83"/>
      <c r="Y22" s="82"/>
    </row>
    <row r="23" spans="1:25" ht="19.5" thickBot="1" x14ac:dyDescent="0.35">
      <c r="A23" s="284" t="s">
        <v>168</v>
      </c>
      <c r="B23" s="157">
        <v>103.24</v>
      </c>
      <c r="C23" s="157">
        <f t="shared" si="4"/>
        <v>1.7399999999999949</v>
      </c>
      <c r="D23" s="78">
        <f t="shared" si="5"/>
        <v>1.7142857142857091</v>
      </c>
      <c r="E23" s="76" t="str">
        <f t="shared" si="0"/>
        <v>incrementa</v>
      </c>
      <c r="F23" s="136">
        <f t="shared" si="1"/>
        <v>1</v>
      </c>
      <c r="N23" s="73"/>
      <c r="O23" s="83"/>
      <c r="P23" s="181" t="s">
        <v>264</v>
      </c>
      <c r="Q23" s="182">
        <f>MAX(B:B)</f>
        <v>116.26</v>
      </c>
      <c r="R23" s="83"/>
      <c r="S23" s="83"/>
      <c r="T23" s="83"/>
      <c r="U23" s="88"/>
      <c r="V23" s="85" t="s">
        <v>267</v>
      </c>
      <c r="W23" s="88"/>
      <c r="X23" s="88"/>
      <c r="Y23" s="82"/>
    </row>
    <row r="24" spans="1:25" ht="24" thickBot="1" x14ac:dyDescent="0.4">
      <c r="A24" s="284" t="s">
        <v>169</v>
      </c>
      <c r="B24" s="157">
        <v>103.26</v>
      </c>
      <c r="C24" s="157">
        <f t="shared" si="4"/>
        <v>2.0000000000010232E-2</v>
      </c>
      <c r="D24" s="78">
        <f t="shared" si="5"/>
        <v>1.9372336303768146E-2</v>
      </c>
      <c r="E24" s="76" t="str">
        <f t="shared" si="0"/>
        <v>incrementa</v>
      </c>
      <c r="F24" s="136">
        <f t="shared" si="1"/>
        <v>1</v>
      </c>
      <c r="N24" s="73"/>
      <c r="O24" s="83"/>
      <c r="P24" s="83"/>
      <c r="Q24" s="83"/>
      <c r="R24" s="83"/>
      <c r="S24" s="83"/>
      <c r="T24" s="83"/>
      <c r="U24" s="84" t="s">
        <v>263</v>
      </c>
      <c r="V24" s="163">
        <f>W25-U25</f>
        <v>16.260000000000005</v>
      </c>
      <c r="W24" s="130" t="s">
        <v>264</v>
      </c>
      <c r="X24" s="85" t="s">
        <v>267</v>
      </c>
      <c r="Y24" s="82"/>
    </row>
    <row r="25" spans="1:25" ht="19.5" thickBot="1" x14ac:dyDescent="0.35">
      <c r="A25" s="285" t="s">
        <v>170</v>
      </c>
      <c r="B25" s="158">
        <v>103.59</v>
      </c>
      <c r="C25" s="158">
        <f t="shared" si="4"/>
        <v>0.32999999999999829</v>
      </c>
      <c r="D25" s="79">
        <f t="shared" si="5"/>
        <v>0.31958163858221794</v>
      </c>
      <c r="E25" s="76" t="str">
        <f t="shared" si="0"/>
        <v>incrementa</v>
      </c>
      <c r="F25" s="136">
        <f t="shared" si="1"/>
        <v>1</v>
      </c>
      <c r="N25" s="73"/>
      <c r="O25" s="83"/>
      <c r="P25" s="83"/>
      <c r="Q25" s="83"/>
      <c r="R25" s="83"/>
      <c r="S25" s="83"/>
      <c r="T25" s="83"/>
      <c r="U25" s="170">
        <f>Q22</f>
        <v>100</v>
      </c>
      <c r="V25" s="86"/>
      <c r="W25" s="171">
        <f>Q23</f>
        <v>116.26</v>
      </c>
      <c r="X25" s="85" t="s">
        <v>270</v>
      </c>
      <c r="Y25" s="82"/>
    </row>
    <row r="26" spans="1:25" ht="19.5" thickBot="1" x14ac:dyDescent="0.35">
      <c r="A26" s="283" t="s">
        <v>171</v>
      </c>
      <c r="B26" s="156">
        <v>102.37</v>
      </c>
      <c r="C26" s="156">
        <f t="shared" si="4"/>
        <v>-1.2199999999999989</v>
      </c>
      <c r="D26" s="113">
        <f t="shared" si="5"/>
        <v>-1.1777198571290655</v>
      </c>
      <c r="E26" s="76" t="str">
        <f t="shared" si="0"/>
        <v>decrementa</v>
      </c>
      <c r="F26" s="136">
        <f t="shared" si="1"/>
        <v>1</v>
      </c>
      <c r="N26" s="73"/>
      <c r="O26" s="83"/>
      <c r="P26" s="96" t="s">
        <v>267</v>
      </c>
      <c r="Q26" s="172">
        <f>V24</f>
        <v>16.260000000000005</v>
      </c>
      <c r="R26" s="83"/>
      <c r="S26" s="83"/>
      <c r="T26" s="83"/>
      <c r="U26" s="83"/>
      <c r="V26" s="83"/>
      <c r="W26" s="83"/>
      <c r="X26" s="83"/>
      <c r="Y26" s="82"/>
    </row>
    <row r="27" spans="1:25" ht="19.5" thickBot="1" x14ac:dyDescent="0.35">
      <c r="A27" s="284" t="s">
        <v>172</v>
      </c>
      <c r="B27" s="157">
        <v>102.07</v>
      </c>
      <c r="C27" s="157">
        <f t="shared" si="4"/>
        <v>-0.30000000000001137</v>
      </c>
      <c r="D27" s="111">
        <f t="shared" si="5"/>
        <v>-0.29305460584156623</v>
      </c>
      <c r="E27" s="76" t="str">
        <f t="shared" si="0"/>
        <v>decrementa</v>
      </c>
      <c r="F27" s="136">
        <f t="shared" si="1"/>
        <v>1</v>
      </c>
      <c r="N27" s="73"/>
      <c r="O27" s="83"/>
      <c r="P27" s="144" t="s">
        <v>275</v>
      </c>
      <c r="Q27" s="145">
        <v>4</v>
      </c>
      <c r="R27" s="143" t="s">
        <v>321</v>
      </c>
      <c r="S27" s="142"/>
      <c r="T27" s="142"/>
      <c r="U27" s="539" t="s">
        <v>268</v>
      </c>
      <c r="V27" s="539"/>
      <c r="W27" s="83"/>
      <c r="X27" s="83"/>
      <c r="Y27" s="82"/>
    </row>
    <row r="28" spans="1:25" ht="24" thickBot="1" x14ac:dyDescent="0.4">
      <c r="A28" s="284" t="s">
        <v>173</v>
      </c>
      <c r="B28" s="157">
        <v>102.44</v>
      </c>
      <c r="C28" s="157">
        <f t="shared" si="4"/>
        <v>0.37000000000000455</v>
      </c>
      <c r="D28" s="78">
        <f t="shared" si="5"/>
        <v>0.36249632605075399</v>
      </c>
      <c r="E28" s="76" t="str">
        <f t="shared" si="0"/>
        <v>incrementa</v>
      </c>
      <c r="F28" s="136">
        <f t="shared" si="1"/>
        <v>1</v>
      </c>
      <c r="N28" s="73"/>
      <c r="O28" s="83"/>
      <c r="P28" s="146" t="s">
        <v>276</v>
      </c>
      <c r="Q28" s="164">
        <f>Q26/Q27</f>
        <v>4.0650000000000013</v>
      </c>
      <c r="R28" s="552" t="s">
        <v>322</v>
      </c>
      <c r="S28" s="552"/>
      <c r="T28" s="552"/>
      <c r="U28" s="165">
        <f>AVERAGE(B2:B109)</f>
        <v>106.72490740740741</v>
      </c>
      <c r="V28" s="83"/>
      <c r="W28" s="83"/>
      <c r="X28" s="83"/>
      <c r="Y28" s="82"/>
    </row>
    <row r="29" spans="1:25" ht="16.5" customHeight="1" thickBot="1" x14ac:dyDescent="0.35">
      <c r="A29" s="284" t="s">
        <v>174</v>
      </c>
      <c r="B29" s="157">
        <v>101.52</v>
      </c>
      <c r="C29" s="157">
        <f t="shared" si="4"/>
        <v>-0.92000000000000171</v>
      </c>
      <c r="D29" s="111">
        <f t="shared" si="5"/>
        <v>-0.8980866848887169</v>
      </c>
      <c r="E29" s="76" t="str">
        <f t="shared" si="0"/>
        <v>decrementa</v>
      </c>
      <c r="F29" s="136">
        <f t="shared" si="1"/>
        <v>1</v>
      </c>
      <c r="N29" s="7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2"/>
    </row>
    <row r="30" spans="1:25" ht="20.25" customHeight="1" thickBot="1" x14ac:dyDescent="0.35">
      <c r="A30" s="284" t="s">
        <v>175</v>
      </c>
      <c r="B30" s="157">
        <v>102.15</v>
      </c>
      <c r="C30" s="157">
        <f t="shared" si="4"/>
        <v>0.63000000000000966</v>
      </c>
      <c r="D30" s="78">
        <f t="shared" si="5"/>
        <v>0.62056737588653443</v>
      </c>
      <c r="E30" s="76" t="str">
        <f t="shared" si="0"/>
        <v>incrementa</v>
      </c>
      <c r="F30" s="136">
        <f t="shared" si="1"/>
        <v>1</v>
      </c>
      <c r="N30" s="73"/>
      <c r="O30" s="83"/>
      <c r="P30" s="183" t="s">
        <v>93</v>
      </c>
      <c r="Q30" s="184">
        <f>AVERAGE(B2:B109)</f>
        <v>106.72490740740741</v>
      </c>
      <c r="R30" s="83"/>
      <c r="S30" s="83"/>
      <c r="T30" s="89"/>
      <c r="U30" s="540" t="s">
        <v>269</v>
      </c>
      <c r="V30" s="540"/>
      <c r="W30" s="83"/>
      <c r="X30" s="83"/>
      <c r="Y30" s="82"/>
    </row>
    <row r="31" spans="1:25" ht="19.5" thickBot="1" x14ac:dyDescent="0.35">
      <c r="A31" s="284" t="s">
        <v>176</v>
      </c>
      <c r="B31" s="157">
        <v>101.8</v>
      </c>
      <c r="C31" s="157">
        <f t="shared" si="4"/>
        <v>-0.35000000000000853</v>
      </c>
      <c r="D31" s="111">
        <f t="shared" si="5"/>
        <v>-0.34263338228096768</v>
      </c>
      <c r="E31" s="76" t="str">
        <f t="shared" si="0"/>
        <v>decrementa</v>
      </c>
      <c r="F31" s="136">
        <f t="shared" si="1"/>
        <v>1</v>
      </c>
      <c r="N31" s="73"/>
      <c r="O31" s="83"/>
      <c r="P31" s="83"/>
      <c r="Q31" s="83"/>
      <c r="R31" s="83"/>
      <c r="S31" s="83"/>
      <c r="T31" s="89"/>
      <c r="U31" s="90" t="s">
        <v>273</v>
      </c>
      <c r="V31" s="84" t="s">
        <v>263</v>
      </c>
      <c r="W31" s="83"/>
      <c r="X31" s="83"/>
      <c r="Y31" s="82"/>
    </row>
    <row r="32" spans="1:25" ht="24" thickBot="1" x14ac:dyDescent="0.4">
      <c r="A32" s="284" t="s">
        <v>177</v>
      </c>
      <c r="B32" s="157">
        <v>101.75</v>
      </c>
      <c r="C32" s="157">
        <f t="shared" si="4"/>
        <v>-4.9999999999997158E-2</v>
      </c>
      <c r="D32" s="111">
        <f t="shared" si="5"/>
        <v>-4.9115913555989349E-2</v>
      </c>
      <c r="E32" s="76" t="str">
        <f t="shared" si="0"/>
        <v>decrementa</v>
      </c>
      <c r="F32" s="136">
        <f t="shared" si="1"/>
        <v>1</v>
      </c>
      <c r="H32" s="110"/>
      <c r="I32" s="110"/>
      <c r="J32" s="110"/>
      <c r="K32" s="110"/>
      <c r="L32" s="110"/>
      <c r="M32" s="110"/>
      <c r="N32" s="73"/>
      <c r="O32" s="83"/>
      <c r="P32" s="83"/>
      <c r="Q32" s="83"/>
      <c r="R32" s="83"/>
      <c r="S32" s="83"/>
      <c r="T32" s="89"/>
      <c r="U32" s="166">
        <f>Q30-Q22</f>
        <v>6.7249074074074144</v>
      </c>
      <c r="V32" s="83"/>
      <c r="W32" s="83"/>
      <c r="X32" s="83"/>
      <c r="Y32" s="82"/>
    </row>
    <row r="33" spans="1:25" ht="15.75" customHeight="1" thickBot="1" x14ac:dyDescent="0.35">
      <c r="A33" s="284" t="s">
        <v>178</v>
      </c>
      <c r="B33" s="157">
        <v>101.4</v>
      </c>
      <c r="C33" s="157">
        <f t="shared" si="4"/>
        <v>-0.34999999999999432</v>
      </c>
      <c r="D33" s="111">
        <f t="shared" si="5"/>
        <v>-0.34398034398033839</v>
      </c>
      <c r="E33" s="76" t="str">
        <f t="shared" si="0"/>
        <v>decrementa</v>
      </c>
      <c r="F33" s="136">
        <f t="shared" si="1"/>
        <v>1</v>
      </c>
      <c r="N33" s="7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2"/>
    </row>
    <row r="34" spans="1:25" ht="15.75" customHeight="1" thickBot="1" x14ac:dyDescent="0.35">
      <c r="A34" s="284" t="s">
        <v>179</v>
      </c>
      <c r="B34" s="157">
        <v>103.53</v>
      </c>
      <c r="C34" s="157">
        <f t="shared" si="4"/>
        <v>2.1299999999999955</v>
      </c>
      <c r="D34" s="78">
        <f t="shared" si="5"/>
        <v>2.1005917159763268</v>
      </c>
      <c r="E34" s="76" t="str">
        <f t="shared" ref="E34:E65" si="9">IF(AND(C34&gt;=0,D34&gt;=0),"incrementa","decrementa")</f>
        <v>incrementa</v>
      </c>
      <c r="F34" s="136">
        <f t="shared" si="1"/>
        <v>1</v>
      </c>
      <c r="N34" s="73"/>
      <c r="O34" s="83"/>
      <c r="P34" s="83"/>
      <c r="Q34" s="83"/>
      <c r="R34" s="83"/>
      <c r="S34" s="83"/>
      <c r="T34" s="91"/>
      <c r="U34" s="551" t="s">
        <v>272</v>
      </c>
      <c r="V34" s="551"/>
      <c r="W34" s="551"/>
      <c r="X34" s="551"/>
      <c r="Y34" s="82"/>
    </row>
    <row r="35" spans="1:25" ht="19.5" thickBot="1" x14ac:dyDescent="0.35">
      <c r="A35" s="284" t="s">
        <v>180</v>
      </c>
      <c r="B35" s="157">
        <v>103.77</v>
      </c>
      <c r="C35" s="157">
        <f t="shared" si="4"/>
        <v>0.23999999999999488</v>
      </c>
      <c r="D35" s="78">
        <f t="shared" si="5"/>
        <v>0.23181686467690032</v>
      </c>
      <c r="E35" s="76" t="str">
        <f t="shared" si="9"/>
        <v>incrementa</v>
      </c>
      <c r="F35" s="136">
        <f t="shared" si="1"/>
        <v>1</v>
      </c>
      <c r="N35" s="73"/>
      <c r="O35" s="83"/>
      <c r="P35" s="83"/>
      <c r="Q35" s="83"/>
      <c r="R35" s="83"/>
      <c r="S35" s="83"/>
      <c r="T35" s="91"/>
      <c r="U35" s="540" t="s">
        <v>269</v>
      </c>
      <c r="V35" s="540"/>
      <c r="W35" s="99" t="s">
        <v>274</v>
      </c>
      <c r="X35" s="85" t="s">
        <v>267</v>
      </c>
      <c r="Y35" s="82"/>
    </row>
    <row r="36" spans="1:25" ht="24" thickBot="1" x14ac:dyDescent="0.4">
      <c r="A36" s="284" t="s">
        <v>181</v>
      </c>
      <c r="B36" s="157">
        <v>102.93</v>
      </c>
      <c r="C36" s="157">
        <f t="shared" si="4"/>
        <v>-0.8399999999999892</v>
      </c>
      <c r="D36" s="111">
        <f t="shared" si="5"/>
        <v>-0.80948250939576871</v>
      </c>
      <c r="E36" s="76" t="str">
        <f t="shared" si="9"/>
        <v>decrementa</v>
      </c>
      <c r="F36" s="136">
        <f t="shared" si="1"/>
        <v>1</v>
      </c>
      <c r="N36" s="73"/>
      <c r="O36" s="83"/>
      <c r="P36" s="83"/>
      <c r="Q36" s="83"/>
      <c r="R36" s="83"/>
      <c r="S36" s="83"/>
      <c r="T36" s="91"/>
      <c r="U36" s="167">
        <f>U32/V24</f>
        <v>0.41358594141497002</v>
      </c>
      <c r="V36" s="83"/>
      <c r="W36" s="83"/>
      <c r="X36" s="83"/>
      <c r="Y36" s="82"/>
    </row>
    <row r="37" spans="1:25" ht="19.5" thickBot="1" x14ac:dyDescent="0.35">
      <c r="A37" s="285" t="s">
        <v>182</v>
      </c>
      <c r="B37" s="158">
        <v>104.04</v>
      </c>
      <c r="C37" s="158">
        <f t="shared" si="4"/>
        <v>1.1099999999999994</v>
      </c>
      <c r="D37" s="79">
        <f t="shared" si="5"/>
        <v>1.0784027980180699</v>
      </c>
      <c r="E37" s="76" t="str">
        <f t="shared" si="9"/>
        <v>incrementa</v>
      </c>
      <c r="F37" s="136">
        <f t="shared" si="1"/>
        <v>1</v>
      </c>
      <c r="N37" s="73"/>
      <c r="O37" s="83"/>
      <c r="P37" s="83"/>
      <c r="Q37" s="83"/>
      <c r="R37" s="83"/>
      <c r="S37" s="83"/>
      <c r="T37" s="132"/>
      <c r="U37" s="133"/>
      <c r="V37" s="83"/>
      <c r="W37" s="83"/>
      <c r="X37" s="83"/>
      <c r="Y37" s="82"/>
    </row>
    <row r="38" spans="1:25" ht="19.5" thickBot="1" x14ac:dyDescent="0.35">
      <c r="A38" s="283" t="s">
        <v>183</v>
      </c>
      <c r="B38" s="156">
        <v>103.03</v>
      </c>
      <c r="C38" s="156">
        <f t="shared" si="4"/>
        <v>-1.0100000000000051</v>
      </c>
      <c r="D38" s="113">
        <f t="shared" si="5"/>
        <v>-0.97078046905037019</v>
      </c>
      <c r="E38" s="76" t="str">
        <f t="shared" si="9"/>
        <v>decrementa</v>
      </c>
      <c r="F38" s="136">
        <f t="shared" si="1"/>
        <v>1</v>
      </c>
      <c r="N38" s="73"/>
      <c r="O38" s="83"/>
      <c r="P38" s="83"/>
      <c r="Q38" s="83"/>
      <c r="R38" s="83"/>
      <c r="S38" s="83"/>
      <c r="T38" s="132"/>
      <c r="U38" s="133"/>
      <c r="V38" s="83"/>
      <c r="W38" s="83"/>
      <c r="X38" s="83"/>
      <c r="Y38" s="82"/>
    </row>
    <row r="39" spans="1:25" ht="19.5" thickBot="1" x14ac:dyDescent="0.35">
      <c r="A39" s="284" t="s">
        <v>184</v>
      </c>
      <c r="B39" s="157">
        <v>103.5</v>
      </c>
      <c r="C39" s="157">
        <f t="shared" si="4"/>
        <v>0.46999999999999886</v>
      </c>
      <c r="D39" s="78">
        <f t="shared" si="5"/>
        <v>0.45617781228768206</v>
      </c>
      <c r="E39" s="76" t="str">
        <f t="shared" si="9"/>
        <v>incrementa</v>
      </c>
      <c r="F39" s="136">
        <f t="shared" si="1"/>
        <v>1</v>
      </c>
      <c r="N39" s="73"/>
      <c r="O39" s="83"/>
      <c r="P39" s="83"/>
      <c r="Q39" s="83"/>
      <c r="R39" s="83"/>
      <c r="S39" s="83"/>
      <c r="T39" s="553" t="s">
        <v>286</v>
      </c>
      <c r="U39" s="553" t="s">
        <v>287</v>
      </c>
      <c r="V39" s="553" t="s">
        <v>288</v>
      </c>
      <c r="W39" s="83"/>
      <c r="X39" s="83"/>
      <c r="Y39" s="82"/>
    </row>
    <row r="40" spans="1:25" ht="19.5" thickBot="1" x14ac:dyDescent="0.35">
      <c r="A40" s="284" t="s">
        <v>185</v>
      </c>
      <c r="B40" s="157">
        <v>101.73</v>
      </c>
      <c r="C40" s="157">
        <f t="shared" si="4"/>
        <v>-1.769999999999996</v>
      </c>
      <c r="D40" s="111">
        <f t="shared" si="5"/>
        <v>-1.7101449275362279</v>
      </c>
      <c r="E40" s="76" t="str">
        <f t="shared" si="9"/>
        <v>decrementa</v>
      </c>
      <c r="F40" s="136">
        <f t="shared" si="1"/>
        <v>1</v>
      </c>
      <c r="N40" s="73"/>
      <c r="O40" s="83"/>
      <c r="P40" s="83"/>
      <c r="Q40" s="83"/>
      <c r="R40" s="83"/>
      <c r="S40" s="83"/>
      <c r="T40" s="553"/>
      <c r="U40" s="553"/>
      <c r="V40" s="553"/>
      <c r="W40" s="83"/>
      <c r="X40" s="83"/>
      <c r="Y40" s="82"/>
    </row>
    <row r="41" spans="1:25" ht="21.75" customHeight="1" thickBot="1" x14ac:dyDescent="0.4">
      <c r="A41" s="284" t="s">
        <v>186</v>
      </c>
      <c r="B41" s="157">
        <v>100.63</v>
      </c>
      <c r="C41" s="157">
        <f t="shared" si="4"/>
        <v>-1.1000000000000085</v>
      </c>
      <c r="D41" s="111">
        <f t="shared" si="5"/>
        <v>-1.0812936203676482</v>
      </c>
      <c r="E41" s="76" t="str">
        <f t="shared" si="9"/>
        <v>decrementa</v>
      </c>
      <c r="F41" s="136">
        <f t="shared" si="1"/>
        <v>1</v>
      </c>
      <c r="N41" s="150" t="s">
        <v>326</v>
      </c>
      <c r="O41" s="175" t="s">
        <v>281</v>
      </c>
      <c r="P41" s="134" t="s">
        <v>319</v>
      </c>
      <c r="Q41" s="134" t="s">
        <v>320</v>
      </c>
      <c r="R41" s="549" t="s">
        <v>259</v>
      </c>
      <c r="S41" s="550"/>
      <c r="T41" s="100" t="s">
        <v>285</v>
      </c>
      <c r="U41" s="101" t="s">
        <v>284</v>
      </c>
      <c r="V41" s="98" t="s">
        <v>323</v>
      </c>
      <c r="W41" s="83"/>
      <c r="X41" s="83"/>
      <c r="Y41" s="82"/>
    </row>
    <row r="42" spans="1:25" ht="21" customHeight="1" thickBot="1" x14ac:dyDescent="0.35">
      <c r="A42" s="284" t="s">
        <v>187</v>
      </c>
      <c r="B42" s="157">
        <v>101.08</v>
      </c>
      <c r="C42" s="157">
        <f t="shared" si="4"/>
        <v>0.45000000000000284</v>
      </c>
      <c r="D42" s="78">
        <f t="shared" si="5"/>
        <v>0.44718274868329805</v>
      </c>
      <c r="E42" s="76" t="str">
        <f t="shared" si="9"/>
        <v>incrementa</v>
      </c>
      <c r="F42" s="136">
        <f t="shared" si="1"/>
        <v>1</v>
      </c>
      <c r="N42" s="126">
        <v>1</v>
      </c>
      <c r="O42" s="71" t="s">
        <v>277</v>
      </c>
      <c r="P42" s="176">
        <f>Q22</f>
        <v>100</v>
      </c>
      <c r="Q42" s="168">
        <f>P42+$Q$28</f>
        <v>104.065</v>
      </c>
      <c r="R42" s="541" t="s">
        <v>282</v>
      </c>
      <c r="S42" s="542"/>
      <c r="T42" s="148">
        <f>COUNTIF(F:F,N42)</f>
        <v>51</v>
      </c>
      <c r="U42" s="138">
        <f>T42/$T$46</f>
        <v>0.47222222222222221</v>
      </c>
      <c r="V42" s="141">
        <f>U42</f>
        <v>0.47222222222222221</v>
      </c>
      <c r="W42" s="97" t="s">
        <v>292</v>
      </c>
      <c r="X42" s="83"/>
      <c r="Y42" s="82"/>
    </row>
    <row r="43" spans="1:25" ht="18" customHeight="1" thickBot="1" x14ac:dyDescent="0.35">
      <c r="A43" s="284" t="s">
        <v>188</v>
      </c>
      <c r="B43" s="157">
        <v>102.08</v>
      </c>
      <c r="C43" s="157">
        <f t="shared" si="4"/>
        <v>1</v>
      </c>
      <c r="D43" s="78">
        <f t="shared" si="5"/>
        <v>0.98931539374752675</v>
      </c>
      <c r="E43" s="76" t="str">
        <f t="shared" si="9"/>
        <v>incrementa</v>
      </c>
      <c r="F43" s="136">
        <f t="shared" si="1"/>
        <v>1</v>
      </c>
      <c r="N43" s="127">
        <v>2</v>
      </c>
      <c r="O43" s="94" t="s">
        <v>278</v>
      </c>
      <c r="P43" s="168">
        <f>Q42</f>
        <v>104.065</v>
      </c>
      <c r="Q43" s="168">
        <f>P43+$Q$28</f>
        <v>108.13</v>
      </c>
      <c r="R43" s="541" t="s">
        <v>283</v>
      </c>
      <c r="S43" s="542"/>
      <c r="T43" s="148">
        <f t="shared" ref="T43:T45" si="10">COUNTIF(F:F,N43)</f>
        <v>19</v>
      </c>
      <c r="U43" s="138">
        <f t="shared" ref="U43:U45" si="11">T43/$T$46</f>
        <v>0.17592592592592593</v>
      </c>
      <c r="V43" s="147">
        <f>V42+U43</f>
        <v>0.64814814814814814</v>
      </c>
      <c r="W43" s="83"/>
      <c r="X43" s="83"/>
      <c r="Y43" s="82"/>
    </row>
    <row r="44" spans="1:25" ht="15.75" customHeight="1" thickBot="1" x14ac:dyDescent="0.35">
      <c r="A44" s="284" t="s">
        <v>189</v>
      </c>
      <c r="B44" s="157">
        <v>102.51</v>
      </c>
      <c r="C44" s="157">
        <f t="shared" si="4"/>
        <v>0.43000000000000682</v>
      </c>
      <c r="D44" s="78">
        <f t="shared" si="5"/>
        <v>0.42123824451411329</v>
      </c>
      <c r="E44" s="76" t="str">
        <f t="shared" si="9"/>
        <v>incrementa</v>
      </c>
      <c r="F44" s="136">
        <f t="shared" si="1"/>
        <v>1</v>
      </c>
      <c r="N44" s="126">
        <v>3</v>
      </c>
      <c r="O44" s="71" t="s">
        <v>279</v>
      </c>
      <c r="P44" s="168">
        <f>Q43</f>
        <v>108.13</v>
      </c>
      <c r="Q44" s="168">
        <f>P44+$Q$28</f>
        <v>112.19499999999999</v>
      </c>
      <c r="R44" s="541" t="s">
        <v>283</v>
      </c>
      <c r="S44" s="542"/>
      <c r="T44" s="148">
        <f t="shared" si="10"/>
        <v>14</v>
      </c>
      <c r="U44" s="138">
        <f t="shared" si="11"/>
        <v>0.12962962962962962</v>
      </c>
      <c r="V44" s="147">
        <f>V43+U44</f>
        <v>0.77777777777777779</v>
      </c>
      <c r="W44" s="83"/>
      <c r="X44" s="83"/>
      <c r="Y44" s="82"/>
    </row>
    <row r="45" spans="1:25" ht="19.5" thickBot="1" x14ac:dyDescent="0.35">
      <c r="A45" s="284" t="s">
        <v>190</v>
      </c>
      <c r="B45" s="157">
        <v>102.65</v>
      </c>
      <c r="C45" s="157">
        <f t="shared" si="4"/>
        <v>0.14000000000000057</v>
      </c>
      <c r="D45" s="78">
        <f t="shared" si="5"/>
        <v>0.13657204175202475</v>
      </c>
      <c r="E45" s="76" t="str">
        <f t="shared" si="9"/>
        <v>incrementa</v>
      </c>
      <c r="F45" s="136">
        <f t="shared" si="1"/>
        <v>1</v>
      </c>
      <c r="N45" s="126">
        <v>4</v>
      </c>
      <c r="O45" s="71" t="s">
        <v>280</v>
      </c>
      <c r="P45" s="168">
        <f>Q44</f>
        <v>112.19499999999999</v>
      </c>
      <c r="Q45" s="177">
        <f>Q23</f>
        <v>116.26</v>
      </c>
      <c r="R45" s="544"/>
      <c r="S45" s="545"/>
      <c r="T45" s="148">
        <f t="shared" si="10"/>
        <v>24</v>
      </c>
      <c r="U45" s="138">
        <f t="shared" si="11"/>
        <v>0.22222222222222221</v>
      </c>
      <c r="V45" s="98">
        <v>100</v>
      </c>
      <c r="W45" s="83"/>
      <c r="X45" s="83"/>
      <c r="Y45" s="82"/>
    </row>
    <row r="46" spans="1:25" ht="19.5" thickBot="1" x14ac:dyDescent="0.35">
      <c r="A46" s="284" t="s">
        <v>191</v>
      </c>
      <c r="B46" s="157">
        <v>102.6</v>
      </c>
      <c r="C46" s="157">
        <f t="shared" si="4"/>
        <v>-5.0000000000011369E-2</v>
      </c>
      <c r="D46" s="111">
        <f t="shared" si="5"/>
        <v>-4.8709206039952622E-2</v>
      </c>
      <c r="E46" s="76" t="str">
        <f t="shared" si="9"/>
        <v>decrementa</v>
      </c>
      <c r="F46" s="136">
        <f t="shared" si="1"/>
        <v>1</v>
      </c>
      <c r="N46" s="73"/>
      <c r="O46" s="83"/>
      <c r="P46" s="83"/>
      <c r="Q46" s="555" t="s">
        <v>289</v>
      </c>
      <c r="R46" s="555"/>
      <c r="S46" s="556"/>
      <c r="T46" s="149">
        <f>SUM(T42:T45)</f>
        <v>108</v>
      </c>
      <c r="U46" s="139">
        <f>SUM(U42:U45)</f>
        <v>1</v>
      </c>
      <c r="V46" s="140"/>
      <c r="W46" s="83"/>
      <c r="X46" s="83"/>
      <c r="Y46" s="82"/>
    </row>
    <row r="47" spans="1:25" ht="15.75" customHeight="1" thickBot="1" x14ac:dyDescent="0.35">
      <c r="A47" s="284" t="s">
        <v>192</v>
      </c>
      <c r="B47" s="157">
        <v>101.34</v>
      </c>
      <c r="C47" s="157">
        <f t="shared" si="4"/>
        <v>-1.2599999999999909</v>
      </c>
      <c r="D47" s="111">
        <f t="shared" si="5"/>
        <v>-1.2280701754385877</v>
      </c>
      <c r="E47" s="76" t="str">
        <f t="shared" si="9"/>
        <v>decrementa</v>
      </c>
      <c r="F47" s="136">
        <f t="shared" si="1"/>
        <v>1</v>
      </c>
      <c r="N47" s="73"/>
      <c r="O47" s="83"/>
      <c r="P47" s="83"/>
      <c r="Q47" s="83"/>
      <c r="R47" s="83"/>
      <c r="S47" s="83"/>
      <c r="T47" s="527" t="s">
        <v>290</v>
      </c>
      <c r="U47" s="530" t="s">
        <v>324</v>
      </c>
      <c r="V47" s="533" t="s">
        <v>291</v>
      </c>
      <c r="W47" s="83"/>
      <c r="X47" s="83"/>
      <c r="Y47" s="82"/>
    </row>
    <row r="48" spans="1:25" ht="15.75" customHeight="1" thickBot="1" x14ac:dyDescent="0.35">
      <c r="A48" s="284" t="s">
        <v>193</v>
      </c>
      <c r="B48" s="157">
        <v>100.86</v>
      </c>
      <c r="C48" s="157">
        <f t="shared" si="4"/>
        <v>-0.48000000000000398</v>
      </c>
      <c r="D48" s="111">
        <f t="shared" si="5"/>
        <v>-0.4736530491415078</v>
      </c>
      <c r="E48" s="76" t="str">
        <f t="shared" si="9"/>
        <v>decrementa</v>
      </c>
      <c r="F48" s="136">
        <f t="shared" si="1"/>
        <v>1</v>
      </c>
      <c r="N48" s="73"/>
      <c r="O48" s="83"/>
      <c r="P48" s="83"/>
      <c r="Q48" s="83"/>
      <c r="R48" s="83"/>
      <c r="S48" s="83"/>
      <c r="T48" s="528"/>
      <c r="U48" s="531"/>
      <c r="V48" s="534"/>
      <c r="W48" s="83"/>
      <c r="X48" s="83"/>
      <c r="Y48" s="82"/>
    </row>
    <row r="49" spans="1:25" ht="15.75" customHeight="1" thickBot="1" x14ac:dyDescent="0.35">
      <c r="A49" s="285" t="s">
        <v>194</v>
      </c>
      <c r="B49" s="158">
        <v>100.65</v>
      </c>
      <c r="C49" s="158">
        <f t="shared" si="4"/>
        <v>-0.20999999999999375</v>
      </c>
      <c r="D49" s="112">
        <f t="shared" si="5"/>
        <v>-0.20820939916715619</v>
      </c>
      <c r="E49" s="76" t="str">
        <f t="shared" si="9"/>
        <v>decrementa</v>
      </c>
      <c r="F49" s="136">
        <f t="shared" si="1"/>
        <v>1</v>
      </c>
      <c r="N49" s="75"/>
      <c r="O49" s="92"/>
      <c r="P49" s="92"/>
      <c r="Q49" s="92"/>
      <c r="R49" s="92"/>
      <c r="S49" s="92"/>
      <c r="T49" s="529"/>
      <c r="U49" s="532"/>
      <c r="V49" s="535"/>
      <c r="W49" s="92"/>
      <c r="X49" s="92"/>
      <c r="Y49" s="93"/>
    </row>
    <row r="50" spans="1:25" ht="21" thickBot="1" x14ac:dyDescent="0.35">
      <c r="A50" s="283" t="s">
        <v>195</v>
      </c>
      <c r="B50" s="156">
        <v>101.96</v>
      </c>
      <c r="C50" s="156">
        <f t="shared" si="4"/>
        <v>1.3099999999999881</v>
      </c>
      <c r="D50" s="77">
        <f t="shared" si="5"/>
        <v>1.3015399900645683</v>
      </c>
      <c r="E50" s="76" t="str">
        <f t="shared" si="9"/>
        <v>incrementa</v>
      </c>
      <c r="F50" s="136">
        <f t="shared" si="1"/>
        <v>1</v>
      </c>
      <c r="N50" s="178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216"/>
    </row>
    <row r="51" spans="1:25" ht="15.75" customHeight="1" thickBot="1" x14ac:dyDescent="0.35">
      <c r="A51" s="284" t="s">
        <v>196</v>
      </c>
      <c r="B51" s="157">
        <v>102.57</v>
      </c>
      <c r="C51" s="157">
        <f t="shared" si="4"/>
        <v>0.60999999999999943</v>
      </c>
      <c r="D51" s="78">
        <f t="shared" si="5"/>
        <v>0.59827383287563696</v>
      </c>
      <c r="E51" s="76" t="str">
        <f t="shared" si="9"/>
        <v>incrementa</v>
      </c>
      <c r="F51" s="136">
        <f t="shared" si="1"/>
        <v>1</v>
      </c>
      <c r="N51" s="217"/>
      <c r="O51" s="83"/>
      <c r="P51" s="83"/>
      <c r="Q51" s="83"/>
      <c r="R51" s="83"/>
      <c r="S51" s="83"/>
      <c r="T51" s="83"/>
      <c r="U51" s="83"/>
      <c r="V51" s="109" t="s">
        <v>352</v>
      </c>
      <c r="W51" s="109"/>
      <c r="X51" s="83"/>
      <c r="Y51" s="82"/>
    </row>
    <row r="52" spans="1:25" ht="19.5" thickBot="1" x14ac:dyDescent="0.35">
      <c r="A52" s="284" t="s">
        <v>197</v>
      </c>
      <c r="B52" s="157">
        <v>101.02</v>
      </c>
      <c r="C52" s="157">
        <f t="shared" si="4"/>
        <v>-1.5499999999999972</v>
      </c>
      <c r="D52" s="111">
        <f t="shared" si="5"/>
        <v>-1.5111631081212804</v>
      </c>
      <c r="E52" s="76" t="str">
        <f t="shared" si="9"/>
        <v>decrementa</v>
      </c>
      <c r="F52" s="136">
        <f t="shared" si="1"/>
        <v>1</v>
      </c>
      <c r="N52" s="73"/>
      <c r="O52" s="83"/>
      <c r="P52" s="83"/>
      <c r="Q52" s="83"/>
      <c r="R52" s="83"/>
      <c r="S52" s="83"/>
      <c r="T52" s="83"/>
      <c r="U52" s="83"/>
      <c r="V52" s="104"/>
      <c r="W52" s="104"/>
      <c r="X52" s="83"/>
      <c r="Y52" s="82"/>
    </row>
    <row r="53" spans="1:25" ht="19.5" thickBot="1" x14ac:dyDescent="0.35">
      <c r="A53" s="284" t="s">
        <v>198</v>
      </c>
      <c r="B53" s="157">
        <v>101.6</v>
      </c>
      <c r="C53" s="157">
        <f t="shared" si="4"/>
        <v>0.57999999999999829</v>
      </c>
      <c r="D53" s="78">
        <f t="shared" si="5"/>
        <v>0.57414373391407481</v>
      </c>
      <c r="E53" s="76" t="str">
        <f t="shared" si="9"/>
        <v>incrementa</v>
      </c>
      <c r="F53" s="136">
        <f t="shared" si="1"/>
        <v>1</v>
      </c>
      <c r="N53" s="73"/>
      <c r="O53" s="83"/>
      <c r="P53" s="83"/>
      <c r="Q53" s="83"/>
      <c r="R53" s="83"/>
      <c r="S53" s="83"/>
      <c r="T53" s="83"/>
      <c r="U53" s="83"/>
      <c r="V53" s="104" t="s">
        <v>294</v>
      </c>
      <c r="W53" s="104">
        <v>106.72490740740743</v>
      </c>
      <c r="X53" s="83"/>
      <c r="Y53" s="82"/>
    </row>
    <row r="54" spans="1:25" ht="19.5" thickBot="1" x14ac:dyDescent="0.35">
      <c r="A54" s="284" t="s">
        <v>199</v>
      </c>
      <c r="B54" s="157">
        <v>101.46</v>
      </c>
      <c r="C54" s="157">
        <f t="shared" si="4"/>
        <v>-0.14000000000000057</v>
      </c>
      <c r="D54" s="111">
        <f t="shared" si="5"/>
        <v>-0.13779527559055174</v>
      </c>
      <c r="E54" s="76" t="str">
        <f t="shared" si="9"/>
        <v>decrementa</v>
      </c>
      <c r="F54" s="136">
        <f t="shared" si="1"/>
        <v>1</v>
      </c>
      <c r="N54" s="73"/>
      <c r="O54" s="83"/>
      <c r="P54" s="83"/>
      <c r="Q54" s="83"/>
      <c r="R54" s="83"/>
      <c r="S54" s="83"/>
      <c r="T54" s="83"/>
      <c r="U54" s="83"/>
      <c r="V54" s="104" t="s">
        <v>295</v>
      </c>
      <c r="W54" s="104">
        <v>0.47954115341161324</v>
      </c>
      <c r="X54" s="83"/>
      <c r="Y54" s="82"/>
    </row>
    <row r="55" spans="1:25" ht="19.5" thickBot="1" x14ac:dyDescent="0.35">
      <c r="A55" s="284" t="s">
        <v>200</v>
      </c>
      <c r="B55" s="157">
        <v>101.03</v>
      </c>
      <c r="C55" s="157">
        <f t="shared" si="4"/>
        <v>-0.42999999999999261</v>
      </c>
      <c r="D55" s="111">
        <f t="shared" si="5"/>
        <v>-0.42381233983835265</v>
      </c>
      <c r="E55" s="76" t="str">
        <f t="shared" si="9"/>
        <v>decrementa</v>
      </c>
      <c r="F55" s="136">
        <f t="shared" si="1"/>
        <v>1</v>
      </c>
      <c r="N55" s="73"/>
      <c r="O55" s="83"/>
      <c r="P55" s="83"/>
      <c r="Q55" s="83"/>
      <c r="R55" s="83"/>
      <c r="S55" s="83"/>
      <c r="T55" s="83"/>
      <c r="U55" s="83"/>
      <c r="V55" s="104" t="s">
        <v>296</v>
      </c>
      <c r="W55" s="104">
        <v>104.60499999999999</v>
      </c>
      <c r="X55" s="83"/>
      <c r="Y55" s="82"/>
    </row>
    <row r="56" spans="1:25" ht="19.5" thickBot="1" x14ac:dyDescent="0.35">
      <c r="A56" s="284" t="s">
        <v>201</v>
      </c>
      <c r="B56" s="157">
        <v>101.9</v>
      </c>
      <c r="C56" s="157">
        <f t="shared" si="4"/>
        <v>0.87000000000000455</v>
      </c>
      <c r="D56" s="78">
        <f t="shared" si="5"/>
        <v>0.86113035731961252</v>
      </c>
      <c r="E56" s="76" t="str">
        <f t="shared" si="9"/>
        <v>incrementa</v>
      </c>
      <c r="F56" s="136">
        <f t="shared" si="1"/>
        <v>1</v>
      </c>
      <c r="N56" s="73"/>
      <c r="O56" s="83"/>
      <c r="P56" s="83"/>
      <c r="Q56" s="83"/>
      <c r="R56" s="83"/>
      <c r="S56" s="83"/>
      <c r="T56" s="83"/>
      <c r="U56" s="83"/>
      <c r="V56" s="104" t="s">
        <v>297</v>
      </c>
      <c r="W56" s="104">
        <v>100.86</v>
      </c>
      <c r="X56" s="83"/>
      <c r="Y56" s="82"/>
    </row>
    <row r="57" spans="1:25" ht="19.5" thickBot="1" x14ac:dyDescent="0.35">
      <c r="A57" s="284" t="s">
        <v>202</v>
      </c>
      <c r="B57" s="157">
        <v>103.2</v>
      </c>
      <c r="C57" s="157">
        <f t="shared" si="4"/>
        <v>1.2999999999999972</v>
      </c>
      <c r="D57" s="78">
        <f t="shared" si="5"/>
        <v>1.2757605495583877</v>
      </c>
      <c r="E57" s="76" t="str">
        <f t="shared" si="9"/>
        <v>incrementa</v>
      </c>
      <c r="F57" s="136">
        <f t="shared" si="1"/>
        <v>1</v>
      </c>
      <c r="N57" s="73"/>
      <c r="O57" s="83"/>
      <c r="P57" s="83"/>
      <c r="Q57" s="83"/>
      <c r="R57" s="83"/>
      <c r="S57" s="83"/>
      <c r="T57" s="83"/>
      <c r="U57" s="83"/>
      <c r="V57" s="104" t="s">
        <v>298</v>
      </c>
      <c r="W57" s="104">
        <v>4.9835378521745737</v>
      </c>
      <c r="X57" s="83"/>
      <c r="Y57" s="82"/>
    </row>
    <row r="58" spans="1:25" ht="19.5" thickBot="1" x14ac:dyDescent="0.35">
      <c r="A58" s="284" t="s">
        <v>203</v>
      </c>
      <c r="B58" s="157">
        <v>104.42</v>
      </c>
      <c r="C58" s="157">
        <f t="shared" si="4"/>
        <v>1.2199999999999989</v>
      </c>
      <c r="D58" s="78">
        <f t="shared" si="5"/>
        <v>1.1821705426356579</v>
      </c>
      <c r="E58" s="76" t="str">
        <f t="shared" si="9"/>
        <v>incrementa</v>
      </c>
      <c r="F58" s="136">
        <f t="shared" si="1"/>
        <v>2</v>
      </c>
      <c r="N58" s="73"/>
      <c r="O58" s="83"/>
      <c r="P58" s="83"/>
      <c r="Q58" s="83"/>
      <c r="R58" s="83"/>
      <c r="S58" s="83"/>
      <c r="T58" s="83"/>
      <c r="U58" s="83"/>
      <c r="V58" s="104" t="s">
        <v>299</v>
      </c>
      <c r="W58" s="104">
        <v>24.835649524056759</v>
      </c>
      <c r="X58" s="83"/>
      <c r="Y58" s="82"/>
    </row>
    <row r="59" spans="1:25" ht="19.5" thickBot="1" x14ac:dyDescent="0.35">
      <c r="A59" s="284" t="s">
        <v>204</v>
      </c>
      <c r="B59" s="157">
        <v>103.81</v>
      </c>
      <c r="C59" s="157">
        <f t="shared" si="4"/>
        <v>-0.60999999999999943</v>
      </c>
      <c r="D59" s="111">
        <f t="shared" si="5"/>
        <v>-0.58417927600076558</v>
      </c>
      <c r="E59" s="76" t="str">
        <f t="shared" si="9"/>
        <v>decrementa</v>
      </c>
      <c r="F59" s="136">
        <f t="shared" si="1"/>
        <v>1</v>
      </c>
      <c r="N59" s="73"/>
      <c r="O59" s="83"/>
      <c r="P59" s="83"/>
      <c r="Q59" s="83"/>
      <c r="R59" s="83"/>
      <c r="S59" s="83"/>
      <c r="T59" s="83"/>
      <c r="U59" s="83"/>
      <c r="V59" s="104" t="s">
        <v>300</v>
      </c>
      <c r="W59" s="104">
        <v>-1.2829358943559726</v>
      </c>
      <c r="X59" s="83"/>
      <c r="Y59" s="82"/>
    </row>
    <row r="60" spans="1:25" ht="19.5" customHeight="1" thickBot="1" x14ac:dyDescent="0.35">
      <c r="A60" s="284" t="s">
        <v>205</v>
      </c>
      <c r="B60" s="157">
        <v>103.75</v>
      </c>
      <c r="C60" s="157">
        <f t="shared" si="4"/>
        <v>-6.0000000000002274E-2</v>
      </c>
      <c r="D60" s="111">
        <f t="shared" si="5"/>
        <v>-5.7797900009635167E-2</v>
      </c>
      <c r="E60" s="76" t="str">
        <f t="shared" si="9"/>
        <v>decrementa</v>
      </c>
      <c r="F60" s="136">
        <f t="shared" si="1"/>
        <v>1</v>
      </c>
      <c r="N60" s="73"/>
      <c r="O60" s="83"/>
      <c r="P60" s="83"/>
      <c r="Q60" s="83"/>
      <c r="R60" s="83"/>
      <c r="S60" s="83"/>
      <c r="T60" s="83"/>
      <c r="U60" s="83"/>
      <c r="V60" s="104" t="s">
        <v>301</v>
      </c>
      <c r="W60" s="104">
        <v>0.49662313772298294</v>
      </c>
      <c r="X60" s="83"/>
      <c r="Y60" s="82"/>
    </row>
    <row r="61" spans="1:25" ht="20.25" customHeight="1" thickBot="1" x14ac:dyDescent="0.35">
      <c r="A61" s="285" t="s">
        <v>206</v>
      </c>
      <c r="B61" s="158">
        <v>104.35</v>
      </c>
      <c r="C61" s="158">
        <f t="shared" si="4"/>
        <v>0.59999999999999432</v>
      </c>
      <c r="D61" s="79">
        <f t="shared" si="5"/>
        <v>0.57831325301204273</v>
      </c>
      <c r="E61" s="76" t="str">
        <f t="shared" si="9"/>
        <v>incrementa</v>
      </c>
      <c r="F61" s="136">
        <f t="shared" si="1"/>
        <v>2</v>
      </c>
      <c r="N61" s="73"/>
      <c r="O61" s="83"/>
      <c r="P61" s="83"/>
      <c r="Q61" s="83"/>
      <c r="R61" s="83"/>
      <c r="S61" s="83"/>
      <c r="T61" s="83"/>
      <c r="U61" s="83"/>
      <c r="V61" s="104" t="s">
        <v>302</v>
      </c>
      <c r="W61" s="104">
        <v>16.260000000000005</v>
      </c>
      <c r="X61" s="83"/>
      <c r="Y61" s="82"/>
    </row>
    <row r="62" spans="1:25" ht="19.5" thickBot="1" x14ac:dyDescent="0.35">
      <c r="A62" s="283" t="s">
        <v>207</v>
      </c>
      <c r="B62" s="156">
        <v>105.63</v>
      </c>
      <c r="C62" s="156">
        <f t="shared" si="4"/>
        <v>1.2800000000000011</v>
      </c>
      <c r="D62" s="77">
        <f t="shared" si="5"/>
        <v>1.2266411116435085</v>
      </c>
      <c r="E62" s="76" t="str">
        <f t="shared" si="9"/>
        <v>incrementa</v>
      </c>
      <c r="F62" s="136">
        <f t="shared" si="1"/>
        <v>2</v>
      </c>
      <c r="I62" s="554" t="s">
        <v>318</v>
      </c>
      <c r="J62" s="554"/>
      <c r="N62" s="73"/>
      <c r="O62" s="83"/>
      <c r="P62" s="83"/>
      <c r="Q62" s="83"/>
      <c r="R62" s="83"/>
      <c r="S62" s="83"/>
      <c r="T62" s="83"/>
      <c r="U62" s="83"/>
      <c r="V62" s="104" t="s">
        <v>303</v>
      </c>
      <c r="W62" s="104">
        <v>100</v>
      </c>
      <c r="X62" s="83"/>
      <c r="Y62" s="82"/>
    </row>
    <row r="63" spans="1:25" ht="19.5" thickBot="1" x14ac:dyDescent="0.35">
      <c r="A63" s="284" t="s">
        <v>208</v>
      </c>
      <c r="B63" s="157">
        <v>105.39</v>
      </c>
      <c r="C63" s="157">
        <f t="shared" si="4"/>
        <v>-0.23999999999999488</v>
      </c>
      <c r="D63" s="111">
        <f t="shared" si="5"/>
        <v>-0.22720817949445699</v>
      </c>
      <c r="E63" s="76" t="str">
        <f t="shared" si="9"/>
        <v>decrementa</v>
      </c>
      <c r="F63" s="136">
        <f t="shared" si="1"/>
        <v>2</v>
      </c>
      <c r="I63" s="554"/>
      <c r="J63" s="554"/>
      <c r="N63" s="73"/>
      <c r="O63" s="83"/>
      <c r="P63" s="83"/>
      <c r="Q63" s="83"/>
      <c r="R63" s="83"/>
      <c r="S63" s="83"/>
      <c r="T63" s="83"/>
      <c r="U63" s="83"/>
      <c r="V63" s="104" t="s">
        <v>304</v>
      </c>
      <c r="W63" s="104">
        <v>116.26</v>
      </c>
      <c r="X63" s="83"/>
      <c r="Y63" s="82"/>
    </row>
    <row r="64" spans="1:25" ht="19.5" thickBot="1" x14ac:dyDescent="0.35">
      <c r="A64" s="284" t="s">
        <v>209</v>
      </c>
      <c r="B64" s="157">
        <v>105.45</v>
      </c>
      <c r="C64" s="157">
        <f t="shared" si="4"/>
        <v>6.0000000000002274E-2</v>
      </c>
      <c r="D64" s="78">
        <f t="shared" si="5"/>
        <v>5.6931397665814856E-2</v>
      </c>
      <c r="E64" s="76" t="str">
        <f t="shared" si="9"/>
        <v>incrementa</v>
      </c>
      <c r="F64" s="136">
        <f t="shared" si="1"/>
        <v>2</v>
      </c>
      <c r="I64" s="554"/>
      <c r="J64" s="554"/>
      <c r="N64" s="73"/>
      <c r="O64" s="83"/>
      <c r="P64" s="83"/>
      <c r="Q64" s="83"/>
      <c r="R64" s="83"/>
      <c r="S64" s="83"/>
      <c r="T64" s="83"/>
      <c r="U64" s="83"/>
      <c r="V64" s="104" t="s">
        <v>305</v>
      </c>
      <c r="W64" s="104">
        <v>11526.290000000003</v>
      </c>
      <c r="X64" s="83"/>
      <c r="Y64" s="82"/>
    </row>
    <row r="65" spans="1:25" ht="19.5" thickBot="1" x14ac:dyDescent="0.35">
      <c r="A65" s="284" t="s">
        <v>210</v>
      </c>
      <c r="B65" s="157">
        <v>104.55</v>
      </c>
      <c r="C65" s="157">
        <f t="shared" si="4"/>
        <v>-0.90000000000000568</v>
      </c>
      <c r="D65" s="111">
        <f t="shared" si="5"/>
        <v>-0.85348506401138513</v>
      </c>
      <c r="E65" s="76" t="str">
        <f t="shared" si="9"/>
        <v>decrementa</v>
      </c>
      <c r="F65" s="136">
        <f t="shared" si="1"/>
        <v>2</v>
      </c>
      <c r="N65" s="73"/>
      <c r="O65" s="83"/>
      <c r="P65" s="83"/>
      <c r="Q65" s="83"/>
      <c r="R65" s="83"/>
      <c r="S65" s="83"/>
      <c r="T65" s="83"/>
      <c r="U65" s="83"/>
      <c r="V65" s="104" t="s">
        <v>306</v>
      </c>
      <c r="W65" s="104">
        <v>108</v>
      </c>
      <c r="X65" s="83"/>
      <c r="Y65" s="82"/>
    </row>
    <row r="66" spans="1:25" ht="19.5" thickBot="1" x14ac:dyDescent="0.35">
      <c r="A66" s="284" t="s">
        <v>211</v>
      </c>
      <c r="B66" s="157">
        <v>103.56</v>
      </c>
      <c r="C66" s="157">
        <f t="shared" si="4"/>
        <v>-0.98999999999999488</v>
      </c>
      <c r="D66" s="111">
        <f t="shared" si="5"/>
        <v>-0.94691535150645145</v>
      </c>
      <c r="E66" s="76" t="str">
        <f t="shared" ref="E66:E97" si="12">IF(AND(C66&gt;=0,D66&gt;=0),"incrementa","decrementa")</f>
        <v>decrementa</v>
      </c>
      <c r="F66" s="136">
        <f t="shared" si="1"/>
        <v>1</v>
      </c>
      <c r="N66" s="73"/>
      <c r="O66" s="83"/>
      <c r="P66" s="83"/>
      <c r="Q66" s="83"/>
      <c r="R66" s="83"/>
      <c r="S66" s="83"/>
      <c r="T66" s="83"/>
      <c r="U66" s="83"/>
      <c r="V66" s="104" t="s">
        <v>307</v>
      </c>
      <c r="W66" s="104">
        <v>116.26</v>
      </c>
      <c r="X66" s="83"/>
      <c r="Y66" s="82"/>
    </row>
    <row r="67" spans="1:25" ht="19.5" thickBot="1" x14ac:dyDescent="0.35">
      <c r="A67" s="284" t="s">
        <v>212</v>
      </c>
      <c r="B67" s="157">
        <v>104.66</v>
      </c>
      <c r="C67" s="157">
        <f t="shared" si="4"/>
        <v>1.0999999999999943</v>
      </c>
      <c r="D67" s="78">
        <f t="shared" si="5"/>
        <v>1.0621861722672792</v>
      </c>
      <c r="E67" s="76" t="str">
        <f t="shared" si="12"/>
        <v>incrementa</v>
      </c>
      <c r="F67" s="136">
        <f t="shared" ref="F67:F109" si="13">IF(B67&lt;=$Q$42,1,IF(B67&lt;=$Q$43,2,IF(B67&lt;=$Q$44,3,IF(B67&lt;=$Q$45,4))))</f>
        <v>2</v>
      </c>
      <c r="N67" s="73"/>
      <c r="O67" s="83"/>
      <c r="P67" s="83"/>
      <c r="Q67" s="83"/>
      <c r="R67" s="83"/>
      <c r="S67" s="83"/>
      <c r="T67" s="83"/>
      <c r="U67" s="83"/>
      <c r="V67" s="104" t="s">
        <v>308</v>
      </c>
      <c r="W67" s="104">
        <v>100</v>
      </c>
      <c r="X67" s="83"/>
      <c r="Y67" s="82"/>
    </row>
    <row r="68" spans="1:25" ht="19.5" thickBot="1" x14ac:dyDescent="0.35">
      <c r="A68" s="284" t="s">
        <v>213</v>
      </c>
      <c r="B68" s="157">
        <v>106.34</v>
      </c>
      <c r="C68" s="157">
        <f t="shared" ref="C68:C109" si="14">B68-B67</f>
        <v>1.6800000000000068</v>
      </c>
      <c r="D68" s="78">
        <f t="shared" ref="D68:D109" si="15">(B68-B67)/B67*100</f>
        <v>1.605197783298306</v>
      </c>
      <c r="E68" s="76" t="str">
        <f t="shared" si="12"/>
        <v>incrementa</v>
      </c>
      <c r="F68" s="136">
        <f t="shared" si="13"/>
        <v>2</v>
      </c>
      <c r="N68" s="73"/>
      <c r="O68" s="83"/>
      <c r="P68" s="83"/>
      <c r="Q68" s="83"/>
      <c r="R68" s="83"/>
      <c r="S68" s="83"/>
      <c r="T68" s="83"/>
      <c r="U68" s="83"/>
      <c r="V68" s="104" t="s">
        <v>309</v>
      </c>
      <c r="W68" s="104">
        <v>0.95063440783805109</v>
      </c>
      <c r="X68" s="83"/>
      <c r="Y68" s="82"/>
    </row>
    <row r="69" spans="1:25" ht="19.5" thickBot="1" x14ac:dyDescent="0.35">
      <c r="A69" s="284" t="s">
        <v>214</v>
      </c>
      <c r="B69" s="157">
        <v>106.53</v>
      </c>
      <c r="C69" s="157">
        <f t="shared" si="14"/>
        <v>0.18999999999999773</v>
      </c>
      <c r="D69" s="78">
        <f t="shared" si="15"/>
        <v>0.17867218356215697</v>
      </c>
      <c r="E69" s="76" t="str">
        <f t="shared" si="12"/>
        <v>incrementa</v>
      </c>
      <c r="F69" s="136">
        <f t="shared" si="13"/>
        <v>2</v>
      </c>
      <c r="N69" s="7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2"/>
    </row>
    <row r="70" spans="1:25" ht="19.5" thickBot="1" x14ac:dyDescent="0.35">
      <c r="A70" s="284" t="s">
        <v>215</v>
      </c>
      <c r="B70" s="157">
        <v>107.87</v>
      </c>
      <c r="C70" s="157">
        <f t="shared" si="14"/>
        <v>1.3400000000000034</v>
      </c>
      <c r="D70" s="78">
        <f t="shared" si="15"/>
        <v>1.2578616352201291</v>
      </c>
      <c r="E70" s="76" t="str">
        <f t="shared" si="12"/>
        <v>incrementa</v>
      </c>
      <c r="F70" s="136">
        <f t="shared" si="13"/>
        <v>2</v>
      </c>
      <c r="N70" s="7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2"/>
    </row>
    <row r="71" spans="1:25" ht="19.5" thickBot="1" x14ac:dyDescent="0.35">
      <c r="A71" s="284" t="s">
        <v>216</v>
      </c>
      <c r="B71" s="157">
        <v>108.53</v>
      </c>
      <c r="C71" s="157">
        <f t="shared" si="14"/>
        <v>0.65999999999999659</v>
      </c>
      <c r="D71" s="78">
        <f t="shared" si="15"/>
        <v>0.61184759432650093</v>
      </c>
      <c r="E71" s="76" t="str">
        <f t="shared" si="12"/>
        <v>incrementa</v>
      </c>
      <c r="F71" s="136">
        <f t="shared" si="13"/>
        <v>3</v>
      </c>
      <c r="N71" s="7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2"/>
    </row>
    <row r="72" spans="1:25" ht="19.5" thickBot="1" x14ac:dyDescent="0.35">
      <c r="A72" s="284" t="s">
        <v>217</v>
      </c>
      <c r="B72" s="157">
        <v>108.1</v>
      </c>
      <c r="C72" s="157">
        <f t="shared" si="14"/>
        <v>-0.43000000000000682</v>
      </c>
      <c r="D72" s="111">
        <f t="shared" si="15"/>
        <v>-0.3962038146134772</v>
      </c>
      <c r="E72" s="76" t="str">
        <f t="shared" si="12"/>
        <v>decrementa</v>
      </c>
      <c r="F72" s="136">
        <f t="shared" si="13"/>
        <v>2</v>
      </c>
      <c r="N72" s="7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2"/>
    </row>
    <row r="73" spans="1:25" ht="19.5" thickBot="1" x14ac:dyDescent="0.35">
      <c r="A73" s="285" t="s">
        <v>218</v>
      </c>
      <c r="B73" s="158">
        <v>108.76</v>
      </c>
      <c r="C73" s="158">
        <f t="shared" si="14"/>
        <v>0.6600000000000108</v>
      </c>
      <c r="D73" s="79">
        <f t="shared" si="15"/>
        <v>0.61054579093433015</v>
      </c>
      <c r="E73" s="76" t="str">
        <f t="shared" si="12"/>
        <v>incrementa</v>
      </c>
      <c r="F73" s="136">
        <f t="shared" si="13"/>
        <v>3</v>
      </c>
      <c r="N73" s="7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2"/>
    </row>
    <row r="74" spans="1:25" ht="19.5" thickBot="1" x14ac:dyDescent="0.35">
      <c r="A74" s="283" t="s">
        <v>219</v>
      </c>
      <c r="B74" s="156">
        <v>110.7</v>
      </c>
      <c r="C74" s="156">
        <f t="shared" si="14"/>
        <v>1.9399999999999977</v>
      </c>
      <c r="D74" s="77">
        <f t="shared" si="15"/>
        <v>1.7837440235380631</v>
      </c>
      <c r="E74" s="76" t="str">
        <f t="shared" si="12"/>
        <v>incrementa</v>
      </c>
      <c r="F74" s="136">
        <f t="shared" si="13"/>
        <v>3</v>
      </c>
      <c r="N74" s="7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2"/>
    </row>
    <row r="75" spans="1:25" ht="19.5" thickBot="1" x14ac:dyDescent="0.35">
      <c r="A75" s="284" t="s">
        <v>220</v>
      </c>
      <c r="B75" s="157">
        <v>110.94</v>
      </c>
      <c r="C75" s="157">
        <f t="shared" si="14"/>
        <v>0.23999999999999488</v>
      </c>
      <c r="D75" s="78">
        <f t="shared" si="15"/>
        <v>0.21680216802167557</v>
      </c>
      <c r="E75" s="76" t="str">
        <f t="shared" si="12"/>
        <v>incrementa</v>
      </c>
      <c r="F75" s="136">
        <f t="shared" si="13"/>
        <v>3</v>
      </c>
      <c r="N75" s="7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2"/>
    </row>
    <row r="76" spans="1:25" ht="19.5" thickBot="1" x14ac:dyDescent="0.35">
      <c r="A76" s="284" t="s">
        <v>221</v>
      </c>
      <c r="B76" s="157">
        <v>112.95</v>
      </c>
      <c r="C76" s="157">
        <f t="shared" si="14"/>
        <v>2.0100000000000051</v>
      </c>
      <c r="D76" s="78">
        <f t="shared" si="15"/>
        <v>1.8117901568415407</v>
      </c>
      <c r="E76" s="76" t="str">
        <f t="shared" si="12"/>
        <v>incrementa</v>
      </c>
      <c r="F76" s="136">
        <f t="shared" si="13"/>
        <v>4</v>
      </c>
      <c r="N76" s="7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2"/>
    </row>
    <row r="77" spans="1:25" ht="19.5" thickBot="1" x14ac:dyDescent="0.35">
      <c r="A77" s="284" t="s">
        <v>222</v>
      </c>
      <c r="B77" s="157">
        <v>110.28</v>
      </c>
      <c r="C77" s="157">
        <f t="shared" si="14"/>
        <v>-2.6700000000000017</v>
      </c>
      <c r="D77" s="111">
        <f t="shared" si="15"/>
        <v>-2.3638778220451542</v>
      </c>
      <c r="E77" s="76" t="str">
        <f t="shared" si="12"/>
        <v>decrementa</v>
      </c>
      <c r="F77" s="136">
        <f t="shared" si="13"/>
        <v>3</v>
      </c>
      <c r="N77" s="7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2"/>
    </row>
    <row r="78" spans="1:25" ht="19.5" thickBot="1" x14ac:dyDescent="0.35">
      <c r="A78" s="284" t="s">
        <v>223</v>
      </c>
      <c r="B78" s="157">
        <v>111.46</v>
      </c>
      <c r="C78" s="157">
        <f t="shared" si="14"/>
        <v>1.1799999999999926</v>
      </c>
      <c r="D78" s="78">
        <f t="shared" si="15"/>
        <v>1.0700036271309328</v>
      </c>
      <c r="E78" s="76" t="str">
        <f t="shared" si="12"/>
        <v>incrementa</v>
      </c>
      <c r="F78" s="136">
        <f t="shared" si="13"/>
        <v>3</v>
      </c>
      <c r="N78" s="7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2"/>
    </row>
    <row r="79" spans="1:25" ht="19.5" thickBot="1" x14ac:dyDescent="0.35">
      <c r="A79" s="284" t="s">
        <v>224</v>
      </c>
      <c r="B79" s="157">
        <v>111.84</v>
      </c>
      <c r="C79" s="157">
        <f t="shared" si="14"/>
        <v>0.38000000000000966</v>
      </c>
      <c r="D79" s="78">
        <f t="shared" si="15"/>
        <v>0.3409294814283238</v>
      </c>
      <c r="E79" s="76" t="str">
        <f t="shared" si="12"/>
        <v>incrementa</v>
      </c>
      <c r="F79" s="136">
        <f t="shared" si="13"/>
        <v>3</v>
      </c>
      <c r="N79" s="7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2"/>
    </row>
    <row r="80" spans="1:25" ht="19.5" thickBot="1" x14ac:dyDescent="0.35">
      <c r="A80" s="284" t="s">
        <v>225</v>
      </c>
      <c r="B80" s="157">
        <v>111.78</v>
      </c>
      <c r="C80" s="157">
        <f t="shared" si="14"/>
        <v>-6.0000000000002274E-2</v>
      </c>
      <c r="D80" s="78">
        <f t="shared" si="15"/>
        <v>-5.3648068669529925E-2</v>
      </c>
      <c r="E80" s="76" t="str">
        <f t="shared" si="12"/>
        <v>decrementa</v>
      </c>
      <c r="F80" s="136">
        <f t="shared" si="13"/>
        <v>3</v>
      </c>
      <c r="J80" s="543"/>
      <c r="K80" s="543"/>
      <c r="N80" s="7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2"/>
    </row>
    <row r="81" spans="1:25" ht="19.5" thickBot="1" x14ac:dyDescent="0.35">
      <c r="A81" s="284" t="s">
        <v>226</v>
      </c>
      <c r="B81" s="157">
        <v>112.16</v>
      </c>
      <c r="C81" s="157">
        <f t="shared" si="14"/>
        <v>0.37999999999999545</v>
      </c>
      <c r="D81" s="78">
        <f t="shared" si="15"/>
        <v>0.33995348005009435</v>
      </c>
      <c r="E81" s="76" t="str">
        <f t="shared" si="12"/>
        <v>incrementa</v>
      </c>
      <c r="F81" s="136">
        <f t="shared" si="13"/>
        <v>3</v>
      </c>
      <c r="N81" s="7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2"/>
    </row>
    <row r="82" spans="1:25" ht="16.5" customHeight="1" thickBot="1" x14ac:dyDescent="0.35">
      <c r="A82" s="284" t="s">
        <v>227</v>
      </c>
      <c r="B82" s="157">
        <v>110.21</v>
      </c>
      <c r="C82" s="157">
        <f t="shared" si="14"/>
        <v>-1.9500000000000028</v>
      </c>
      <c r="D82" s="111">
        <f t="shared" si="15"/>
        <v>-1.7385877318117002</v>
      </c>
      <c r="E82" s="76" t="str">
        <f t="shared" si="12"/>
        <v>decrementa</v>
      </c>
      <c r="F82" s="136">
        <f t="shared" si="13"/>
        <v>3</v>
      </c>
      <c r="N82" s="7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2"/>
    </row>
    <row r="83" spans="1:25" ht="19.5" thickBot="1" x14ac:dyDescent="0.35">
      <c r="A83" s="284" t="s">
        <v>228</v>
      </c>
      <c r="B83" s="157">
        <v>110.25</v>
      </c>
      <c r="C83" s="157">
        <f t="shared" si="14"/>
        <v>4.0000000000006253E-2</v>
      </c>
      <c r="D83" s="78">
        <f t="shared" si="15"/>
        <v>3.6294347155436217E-2</v>
      </c>
      <c r="E83" s="76" t="str">
        <f t="shared" si="12"/>
        <v>incrementa</v>
      </c>
      <c r="F83" s="136">
        <f t="shared" si="13"/>
        <v>3</v>
      </c>
      <c r="N83" s="7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2"/>
    </row>
    <row r="84" spans="1:25" ht="19.5" thickBot="1" x14ac:dyDescent="0.35">
      <c r="A84" s="284" t="s">
        <v>229</v>
      </c>
      <c r="B84" s="157">
        <v>110.92</v>
      </c>
      <c r="C84" s="157">
        <f t="shared" si="14"/>
        <v>0.67000000000000171</v>
      </c>
      <c r="D84" s="78">
        <f t="shared" si="15"/>
        <v>0.60770975056689491</v>
      </c>
      <c r="E84" s="76" t="str">
        <f t="shared" si="12"/>
        <v>incrementa</v>
      </c>
      <c r="F84" s="136">
        <f t="shared" si="13"/>
        <v>3</v>
      </c>
      <c r="N84" s="7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2"/>
    </row>
    <row r="85" spans="1:25" ht="19.5" thickBot="1" x14ac:dyDescent="0.35">
      <c r="A85" s="285" t="s">
        <v>230</v>
      </c>
      <c r="B85" s="158">
        <v>112.83</v>
      </c>
      <c r="C85" s="158">
        <f t="shared" si="14"/>
        <v>1.9099999999999966</v>
      </c>
      <c r="D85" s="79">
        <f t="shared" si="15"/>
        <v>1.7219617742517099</v>
      </c>
      <c r="E85" s="76" t="str">
        <f t="shared" si="12"/>
        <v>incrementa</v>
      </c>
      <c r="F85" s="136">
        <f t="shared" si="13"/>
        <v>4</v>
      </c>
      <c r="N85" s="7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2"/>
    </row>
    <row r="86" spans="1:25" ht="19.5" thickBot="1" x14ac:dyDescent="0.35">
      <c r="A86" s="283" t="s">
        <v>231</v>
      </c>
      <c r="B86" s="156">
        <v>112.53</v>
      </c>
      <c r="C86" s="156">
        <f t="shared" si="14"/>
        <v>-0.29999999999999716</v>
      </c>
      <c r="D86" s="113">
        <f t="shared" si="15"/>
        <v>-0.26588673225205811</v>
      </c>
      <c r="E86" s="76" t="str">
        <f t="shared" si="12"/>
        <v>decrementa</v>
      </c>
      <c r="F86" s="136">
        <f t="shared" si="13"/>
        <v>4</v>
      </c>
      <c r="J86" s="287"/>
      <c r="N86" s="75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3"/>
    </row>
    <row r="87" spans="1:25" ht="19.5" thickBot="1" x14ac:dyDescent="0.35">
      <c r="A87" s="284" t="s">
        <v>232</v>
      </c>
      <c r="B87" s="157">
        <v>111.9</v>
      </c>
      <c r="C87" s="157">
        <f t="shared" si="14"/>
        <v>-0.62999999999999545</v>
      </c>
      <c r="D87" s="111">
        <f t="shared" si="15"/>
        <v>-0.5598507064782684</v>
      </c>
      <c r="E87" s="76" t="str">
        <f t="shared" si="12"/>
        <v>decrementa</v>
      </c>
      <c r="F87" s="136">
        <f t="shared" si="13"/>
        <v>3</v>
      </c>
      <c r="J87" s="287"/>
    </row>
    <row r="88" spans="1:25" ht="19.5" thickBot="1" x14ac:dyDescent="0.35">
      <c r="A88" s="284" t="s">
        <v>233</v>
      </c>
      <c r="B88" s="157">
        <v>111.62</v>
      </c>
      <c r="C88" s="157">
        <f t="shared" si="14"/>
        <v>-0.28000000000000114</v>
      </c>
      <c r="D88" s="111">
        <f t="shared" si="15"/>
        <v>-0.25022341376228879</v>
      </c>
      <c r="E88" s="76" t="str">
        <f t="shared" si="12"/>
        <v>decrementa</v>
      </c>
      <c r="F88" s="136">
        <f t="shared" si="13"/>
        <v>3</v>
      </c>
      <c r="J88" s="287"/>
    </row>
    <row r="89" spans="1:25" ht="19.5" thickBot="1" x14ac:dyDescent="0.35">
      <c r="A89" s="284" t="s">
        <v>234</v>
      </c>
      <c r="B89" s="157">
        <v>112.92</v>
      </c>
      <c r="C89" s="157">
        <f t="shared" si="14"/>
        <v>1.2999999999999972</v>
      </c>
      <c r="D89" s="78">
        <f t="shared" si="15"/>
        <v>1.1646658304963242</v>
      </c>
      <c r="E89" s="76" t="str">
        <f t="shared" si="12"/>
        <v>incrementa</v>
      </c>
      <c r="F89" s="136">
        <f t="shared" si="13"/>
        <v>4</v>
      </c>
      <c r="J89" s="287"/>
    </row>
    <row r="90" spans="1:25" ht="19.5" thickBot="1" x14ac:dyDescent="0.35">
      <c r="A90" s="284" t="s">
        <v>235</v>
      </c>
      <c r="B90" s="157">
        <v>113.57</v>
      </c>
      <c r="C90" s="157">
        <f t="shared" si="14"/>
        <v>0.64999999999999147</v>
      </c>
      <c r="D90" s="78">
        <f t="shared" si="15"/>
        <v>0.57562876372652449</v>
      </c>
      <c r="E90" s="76" t="str">
        <f t="shared" si="12"/>
        <v>incrementa</v>
      </c>
      <c r="F90" s="136">
        <f t="shared" si="13"/>
        <v>4</v>
      </c>
      <c r="J90" s="287"/>
    </row>
    <row r="91" spans="1:25" ht="19.5" thickBot="1" x14ac:dyDescent="0.35">
      <c r="A91" s="284" t="s">
        <v>236</v>
      </c>
      <c r="B91" s="157">
        <v>113.26</v>
      </c>
      <c r="C91" s="157">
        <f t="shared" si="14"/>
        <v>-0.30999999999998806</v>
      </c>
      <c r="D91" s="111">
        <f t="shared" si="15"/>
        <v>-0.27295940829443349</v>
      </c>
      <c r="E91" s="76" t="str">
        <f t="shared" si="12"/>
        <v>decrementa</v>
      </c>
      <c r="F91" s="136">
        <f t="shared" si="13"/>
        <v>4</v>
      </c>
      <c r="J91" s="287"/>
    </row>
    <row r="92" spans="1:25" ht="19.5" thickBot="1" x14ac:dyDescent="0.35">
      <c r="A92" s="284" t="s">
        <v>237</v>
      </c>
      <c r="B92" s="157">
        <v>114.12</v>
      </c>
      <c r="C92" s="157">
        <f t="shared" si="14"/>
        <v>0.85999999999999943</v>
      </c>
      <c r="D92" s="78">
        <f t="shared" si="15"/>
        <v>0.75931485078580208</v>
      </c>
      <c r="E92" s="76" t="str">
        <f t="shared" si="12"/>
        <v>incrementa</v>
      </c>
      <c r="F92" s="136">
        <f t="shared" si="13"/>
        <v>4</v>
      </c>
      <c r="J92" s="287"/>
    </row>
    <row r="93" spans="1:25" ht="19.5" thickBot="1" x14ac:dyDescent="0.35">
      <c r="A93" s="284" t="s">
        <v>238</v>
      </c>
      <c r="B93" s="157">
        <v>114.52</v>
      </c>
      <c r="C93" s="157">
        <f t="shared" si="14"/>
        <v>0.39999999999999147</v>
      </c>
      <c r="D93" s="78">
        <f t="shared" si="15"/>
        <v>0.3505082369435607</v>
      </c>
      <c r="E93" s="76" t="str">
        <f t="shared" si="12"/>
        <v>incrementa</v>
      </c>
      <c r="F93" s="136">
        <f t="shared" si="13"/>
        <v>4</v>
      </c>
      <c r="J93" s="287"/>
    </row>
    <row r="94" spans="1:25" ht="19.5" thickBot="1" x14ac:dyDescent="0.35">
      <c r="A94" s="284" t="s">
        <v>239</v>
      </c>
      <c r="B94" s="157">
        <v>115.91</v>
      </c>
      <c r="C94" s="157">
        <f t="shared" si="14"/>
        <v>1.3900000000000006</v>
      </c>
      <c r="D94" s="78">
        <f t="shared" si="15"/>
        <v>1.213761788333916</v>
      </c>
      <c r="E94" s="76" t="str">
        <f t="shared" si="12"/>
        <v>incrementa</v>
      </c>
      <c r="F94" s="136">
        <f t="shared" si="13"/>
        <v>4</v>
      </c>
      <c r="J94" s="287"/>
    </row>
    <row r="95" spans="1:25" ht="19.5" thickBot="1" x14ac:dyDescent="0.35">
      <c r="A95" s="284" t="s">
        <v>240</v>
      </c>
      <c r="B95" s="157">
        <v>115.39</v>
      </c>
      <c r="C95" s="157">
        <f t="shared" si="14"/>
        <v>-0.51999999999999602</v>
      </c>
      <c r="D95" s="111">
        <f t="shared" si="15"/>
        <v>-0.44862393236131143</v>
      </c>
      <c r="E95" s="76" t="str">
        <f t="shared" si="12"/>
        <v>decrementa</v>
      </c>
      <c r="F95" s="136">
        <f t="shared" si="13"/>
        <v>4</v>
      </c>
      <c r="J95" s="287"/>
    </row>
    <row r="96" spans="1:25" ht="19.5" thickBot="1" x14ac:dyDescent="0.35">
      <c r="A96" s="284" t="s">
        <v>241</v>
      </c>
      <c r="B96" s="157">
        <v>115.3</v>
      </c>
      <c r="C96" s="157">
        <f t="shared" si="14"/>
        <v>-9.0000000000003411E-2</v>
      </c>
      <c r="D96" s="111">
        <f t="shared" si="15"/>
        <v>-7.7996360169861695E-2</v>
      </c>
      <c r="E96" s="76" t="str">
        <f t="shared" si="12"/>
        <v>decrementa</v>
      </c>
      <c r="F96" s="136">
        <f t="shared" si="13"/>
        <v>4</v>
      </c>
      <c r="J96" s="287"/>
    </row>
    <row r="97" spans="1:10" ht="19.5" thickBot="1" x14ac:dyDescent="0.35">
      <c r="A97" s="285" t="s">
        <v>242</v>
      </c>
      <c r="B97" s="158">
        <v>115.13</v>
      </c>
      <c r="C97" s="158">
        <f t="shared" si="14"/>
        <v>-0.17000000000000171</v>
      </c>
      <c r="D97" s="112">
        <f t="shared" si="15"/>
        <v>-0.14744145706851838</v>
      </c>
      <c r="E97" s="76" t="str">
        <f t="shared" si="12"/>
        <v>decrementa</v>
      </c>
      <c r="F97" s="136">
        <f t="shared" si="13"/>
        <v>4</v>
      </c>
      <c r="J97" s="287"/>
    </row>
    <row r="98" spans="1:10" ht="19.5" thickBot="1" x14ac:dyDescent="0.35">
      <c r="A98" s="283" t="s">
        <v>243</v>
      </c>
      <c r="B98" s="156">
        <v>113.74</v>
      </c>
      <c r="C98" s="156">
        <f t="shared" si="14"/>
        <v>-1.3900000000000006</v>
      </c>
      <c r="D98" s="77">
        <f t="shared" si="15"/>
        <v>-1.2073308433944243</v>
      </c>
      <c r="E98" s="76" t="str">
        <f t="shared" ref="E98:E108" si="16">IF(AND(C98&gt;=0,D98&gt;=0),"incrementa","decrementa")</f>
        <v>decrementa</v>
      </c>
      <c r="F98" s="136">
        <f t="shared" si="13"/>
        <v>4</v>
      </c>
      <c r="J98" s="287"/>
    </row>
    <row r="99" spans="1:10" ht="19.5" thickBot="1" x14ac:dyDescent="0.35">
      <c r="A99" s="284" t="s">
        <v>244</v>
      </c>
      <c r="B99" s="157">
        <v>114.36</v>
      </c>
      <c r="C99" s="157">
        <f t="shared" si="14"/>
        <v>0.62000000000000455</v>
      </c>
      <c r="D99" s="78">
        <f t="shared" si="15"/>
        <v>0.54510286618604231</v>
      </c>
      <c r="E99" s="76" t="str">
        <f t="shared" si="16"/>
        <v>incrementa</v>
      </c>
      <c r="F99" s="136">
        <f t="shared" si="13"/>
        <v>4</v>
      </c>
      <c r="J99" s="287"/>
    </row>
    <row r="100" spans="1:10" ht="19.5" thickBot="1" x14ac:dyDescent="0.35">
      <c r="A100" s="284" t="s">
        <v>245</v>
      </c>
      <c r="B100" s="157">
        <v>114.94</v>
      </c>
      <c r="C100" s="157">
        <f t="shared" si="14"/>
        <v>0.57999999999999829</v>
      </c>
      <c r="D100" s="78">
        <f t="shared" si="15"/>
        <v>0.50717033927946686</v>
      </c>
      <c r="E100" s="76" t="str">
        <f t="shared" si="16"/>
        <v>incrementa</v>
      </c>
      <c r="F100" s="136">
        <f t="shared" si="13"/>
        <v>4</v>
      </c>
      <c r="J100" s="287"/>
    </row>
    <row r="101" spans="1:10" ht="19.5" thickBot="1" x14ac:dyDescent="0.35">
      <c r="A101" s="284" t="s">
        <v>246</v>
      </c>
      <c r="B101" s="157">
        <v>115.24</v>
      </c>
      <c r="C101" s="157">
        <f t="shared" si="14"/>
        <v>0.29999999999999716</v>
      </c>
      <c r="D101" s="78">
        <f t="shared" si="15"/>
        <v>0.26100574212632432</v>
      </c>
      <c r="E101" s="76" t="str">
        <f t="shared" si="16"/>
        <v>incrementa</v>
      </c>
      <c r="F101" s="136">
        <f t="shared" si="13"/>
        <v>4</v>
      </c>
      <c r="J101" s="287"/>
    </row>
    <row r="102" spans="1:10" ht="19.5" thickBot="1" x14ac:dyDescent="0.35">
      <c r="A102" s="284" t="s">
        <v>247</v>
      </c>
      <c r="B102" s="157">
        <v>115.25</v>
      </c>
      <c r="C102" s="157">
        <f t="shared" si="14"/>
        <v>1.0000000000005116E-2</v>
      </c>
      <c r="D102" s="78">
        <f t="shared" si="15"/>
        <v>8.677542519962788E-3</v>
      </c>
      <c r="E102" s="76" t="str">
        <f t="shared" si="16"/>
        <v>incrementa</v>
      </c>
      <c r="F102" s="136">
        <f t="shared" si="13"/>
        <v>4</v>
      </c>
      <c r="J102" s="287"/>
    </row>
    <row r="103" spans="1:10" ht="19.5" thickBot="1" x14ac:dyDescent="0.35">
      <c r="A103" s="284" t="s">
        <v>248</v>
      </c>
      <c r="B103" s="157">
        <v>113.91</v>
      </c>
      <c r="C103" s="157">
        <f t="shared" si="14"/>
        <v>-1.3400000000000034</v>
      </c>
      <c r="D103" s="111">
        <f t="shared" si="15"/>
        <v>-1.1626898047722374</v>
      </c>
      <c r="E103" s="76" t="str">
        <f t="shared" si="16"/>
        <v>decrementa</v>
      </c>
      <c r="F103" s="136">
        <f t="shared" si="13"/>
        <v>4</v>
      </c>
      <c r="J103" s="287"/>
    </row>
    <row r="104" spans="1:10" ht="19.5" thickBot="1" x14ac:dyDescent="0.35">
      <c r="A104" s="284" t="s">
        <v>249</v>
      </c>
      <c r="B104" s="157">
        <v>113.72</v>
      </c>
      <c r="C104" s="157">
        <f t="shared" si="14"/>
        <v>-0.18999999999999773</v>
      </c>
      <c r="D104" s="111">
        <f t="shared" si="15"/>
        <v>-0.16679834957422326</v>
      </c>
      <c r="E104" s="76" t="str">
        <f t="shared" si="16"/>
        <v>decrementa</v>
      </c>
      <c r="F104" s="136">
        <f t="shared" si="13"/>
        <v>4</v>
      </c>
      <c r="J104" s="287"/>
    </row>
    <row r="105" spans="1:10" ht="19.5" thickBot="1" x14ac:dyDescent="0.35">
      <c r="A105" s="284" t="s">
        <v>250</v>
      </c>
      <c r="B105" s="157">
        <v>113.61</v>
      </c>
      <c r="C105" s="157">
        <f t="shared" si="14"/>
        <v>-0.10999999999999943</v>
      </c>
      <c r="D105" s="111">
        <f t="shared" si="15"/>
        <v>-9.6728807597607658E-2</v>
      </c>
      <c r="E105" s="76" t="str">
        <f t="shared" si="16"/>
        <v>decrementa</v>
      </c>
      <c r="F105" s="136">
        <f t="shared" si="13"/>
        <v>4</v>
      </c>
      <c r="J105" s="287"/>
    </row>
    <row r="106" spans="1:10" ht="19.5" thickBot="1" x14ac:dyDescent="0.35">
      <c r="A106" s="284" t="s">
        <v>251</v>
      </c>
      <c r="B106" s="157">
        <v>112.98</v>
      </c>
      <c r="C106" s="157">
        <f t="shared" si="14"/>
        <v>-0.62999999999999545</v>
      </c>
      <c r="D106" s="111">
        <f t="shared" si="15"/>
        <v>-0.55452865064694612</v>
      </c>
      <c r="E106" s="76" t="str">
        <f t="shared" si="16"/>
        <v>decrementa</v>
      </c>
      <c r="F106" s="136">
        <f t="shared" si="13"/>
        <v>4</v>
      </c>
      <c r="J106" s="287"/>
    </row>
    <row r="107" spans="1:10" ht="19.5" thickBot="1" x14ac:dyDescent="0.35">
      <c r="A107" s="284" t="s">
        <v>252</v>
      </c>
      <c r="B107" s="157">
        <v>113.08</v>
      </c>
      <c r="C107" s="157">
        <f t="shared" si="14"/>
        <v>9.9999999999994316E-2</v>
      </c>
      <c r="D107" s="78">
        <f t="shared" si="15"/>
        <v>8.8511240927592771E-2</v>
      </c>
      <c r="E107" s="76" t="str">
        <f t="shared" si="16"/>
        <v>incrementa</v>
      </c>
      <c r="F107" s="136">
        <f t="shared" si="13"/>
        <v>4</v>
      </c>
      <c r="J107" s="287"/>
    </row>
    <row r="108" spans="1:10" ht="19.5" thickBot="1" x14ac:dyDescent="0.35">
      <c r="A108" s="284" t="s">
        <v>253</v>
      </c>
      <c r="B108" s="157">
        <v>113.82</v>
      </c>
      <c r="C108" s="157">
        <f t="shared" si="14"/>
        <v>0.73999999999999488</v>
      </c>
      <c r="D108" s="78">
        <f t="shared" si="15"/>
        <v>0.65440396179695337</v>
      </c>
      <c r="E108" s="76" t="str">
        <f t="shared" si="16"/>
        <v>incrementa</v>
      </c>
      <c r="F108" s="136">
        <f t="shared" si="13"/>
        <v>4</v>
      </c>
      <c r="J108" s="287"/>
    </row>
    <row r="109" spans="1:10" ht="19.5" thickBot="1" x14ac:dyDescent="0.35">
      <c r="A109" s="285" t="s">
        <v>254</v>
      </c>
      <c r="B109" s="158">
        <v>116.26</v>
      </c>
      <c r="C109" s="158">
        <f t="shared" si="14"/>
        <v>2.4400000000000119</v>
      </c>
      <c r="D109" s="79">
        <f t="shared" si="15"/>
        <v>2.143735723071527</v>
      </c>
      <c r="E109" s="81" t="str">
        <f>IF(AND(C109&gt;=0.01,D109&gt;=-0.01),"incrementa","decrementa")</f>
        <v>incrementa</v>
      </c>
      <c r="F109" s="137">
        <f t="shared" si="13"/>
        <v>4</v>
      </c>
      <c r="J109" s="287"/>
    </row>
    <row r="110" spans="1:10" x14ac:dyDescent="0.25">
      <c r="J110" s="287"/>
    </row>
    <row r="111" spans="1:10" x14ac:dyDescent="0.25">
      <c r="J111" s="287"/>
    </row>
    <row r="112" spans="1:10" x14ac:dyDescent="0.25">
      <c r="J112" s="287"/>
    </row>
    <row r="113" spans="1:10" x14ac:dyDescent="0.25">
      <c r="J113" s="287"/>
    </row>
    <row r="114" spans="1:10" x14ac:dyDescent="0.25">
      <c r="A114" s="102" t="s">
        <v>293</v>
      </c>
      <c r="B114" s="103" t="s">
        <v>255</v>
      </c>
      <c r="J114" s="287"/>
    </row>
    <row r="115" spans="1:10" x14ac:dyDescent="0.25">
      <c r="A115" s="102">
        <v>1</v>
      </c>
      <c r="B115" s="155">
        <v>100</v>
      </c>
      <c r="J115" s="287"/>
    </row>
    <row r="116" spans="1:10" x14ac:dyDescent="0.25">
      <c r="A116" s="102">
        <f>A115+1</f>
        <v>2</v>
      </c>
      <c r="B116" s="155">
        <v>100.63</v>
      </c>
      <c r="J116" s="287"/>
    </row>
    <row r="117" spans="1:10" x14ac:dyDescent="0.25">
      <c r="A117" s="102">
        <f t="shared" ref="A117:A180" si="17">A116+1</f>
        <v>3</v>
      </c>
      <c r="B117" s="155">
        <v>100.65</v>
      </c>
      <c r="C117" s="288"/>
      <c r="D117" s="289"/>
      <c r="E117" s="290"/>
      <c r="F117" s="291"/>
      <c r="G117" s="287"/>
      <c r="H117" s="287"/>
      <c r="I117" s="287"/>
      <c r="J117" s="287"/>
    </row>
    <row r="118" spans="1:10" x14ac:dyDescent="0.25">
      <c r="A118" s="102">
        <f t="shared" si="17"/>
        <v>4</v>
      </c>
      <c r="B118" s="155">
        <v>100.75</v>
      </c>
    </row>
    <row r="119" spans="1:10" x14ac:dyDescent="0.25">
      <c r="A119" s="102">
        <f t="shared" si="17"/>
        <v>5</v>
      </c>
      <c r="B119" s="155">
        <v>100.86</v>
      </c>
    </row>
    <row r="120" spans="1:10" x14ac:dyDescent="0.25">
      <c r="A120" s="102">
        <f t="shared" si="17"/>
        <v>6</v>
      </c>
      <c r="B120" s="155">
        <v>100.86</v>
      </c>
    </row>
    <row r="121" spans="1:10" x14ac:dyDescent="0.25">
      <c r="A121" s="102">
        <f t="shared" si="17"/>
        <v>7</v>
      </c>
      <c r="B121" s="155">
        <v>101.02</v>
      </c>
    </row>
    <row r="122" spans="1:10" x14ac:dyDescent="0.25">
      <c r="A122" s="102">
        <f t="shared" si="17"/>
        <v>8</v>
      </c>
      <c r="B122" s="155">
        <v>101.03</v>
      </c>
    </row>
    <row r="123" spans="1:10" x14ac:dyDescent="0.25">
      <c r="A123" s="102">
        <f t="shared" si="17"/>
        <v>9</v>
      </c>
      <c r="B123" s="155">
        <v>101.08</v>
      </c>
    </row>
    <row r="124" spans="1:10" x14ac:dyDescent="0.25">
      <c r="A124" s="102">
        <f t="shared" si="17"/>
        <v>10</v>
      </c>
      <c r="B124" s="155">
        <v>101.34</v>
      </c>
    </row>
    <row r="125" spans="1:10" x14ac:dyDescent="0.25">
      <c r="A125" s="102">
        <f t="shared" si="17"/>
        <v>11</v>
      </c>
      <c r="B125" s="155">
        <v>101.4</v>
      </c>
    </row>
    <row r="126" spans="1:10" x14ac:dyDescent="0.25">
      <c r="A126" s="102">
        <f t="shared" si="17"/>
        <v>12</v>
      </c>
      <c r="B126" s="155">
        <v>101.46</v>
      </c>
    </row>
    <row r="127" spans="1:10" x14ac:dyDescent="0.25">
      <c r="A127" s="102">
        <f t="shared" si="17"/>
        <v>13</v>
      </c>
      <c r="B127" s="155">
        <v>101.5</v>
      </c>
    </row>
    <row r="128" spans="1:10" x14ac:dyDescent="0.25">
      <c r="A128" s="102">
        <f t="shared" si="17"/>
        <v>14</v>
      </c>
      <c r="B128" s="155">
        <v>101.52</v>
      </c>
    </row>
    <row r="129" spans="1:2" x14ac:dyDescent="0.25">
      <c r="A129" s="102">
        <f t="shared" si="17"/>
        <v>15</v>
      </c>
      <c r="B129" s="155">
        <v>101.6</v>
      </c>
    </row>
    <row r="130" spans="1:2" x14ac:dyDescent="0.25">
      <c r="A130" s="102">
        <f t="shared" si="17"/>
        <v>16</v>
      </c>
      <c r="B130" s="155">
        <v>101.73</v>
      </c>
    </row>
    <row r="131" spans="1:2" x14ac:dyDescent="0.25">
      <c r="A131" s="102">
        <f t="shared" si="17"/>
        <v>17</v>
      </c>
      <c r="B131" s="155">
        <v>101.75</v>
      </c>
    </row>
    <row r="132" spans="1:2" x14ac:dyDescent="0.25">
      <c r="A132" s="102">
        <f t="shared" si="17"/>
        <v>18</v>
      </c>
      <c r="B132" s="155">
        <v>101.76</v>
      </c>
    </row>
    <row r="133" spans="1:2" x14ac:dyDescent="0.25">
      <c r="A133" s="102">
        <f t="shared" si="17"/>
        <v>19</v>
      </c>
      <c r="B133" s="155">
        <v>101.8</v>
      </c>
    </row>
    <row r="134" spans="1:2" x14ac:dyDescent="0.25">
      <c r="A134" s="102">
        <f t="shared" si="17"/>
        <v>20</v>
      </c>
      <c r="B134" s="155">
        <v>101.9</v>
      </c>
    </row>
    <row r="135" spans="1:2" x14ac:dyDescent="0.25">
      <c r="A135" s="102">
        <f t="shared" si="17"/>
        <v>21</v>
      </c>
      <c r="B135" s="155">
        <v>101.96</v>
      </c>
    </row>
    <row r="136" spans="1:2" x14ac:dyDescent="0.25">
      <c r="A136" s="102">
        <f t="shared" si="17"/>
        <v>22</v>
      </c>
      <c r="B136" s="155">
        <v>102.07</v>
      </c>
    </row>
    <row r="137" spans="1:2" x14ac:dyDescent="0.25">
      <c r="A137" s="102">
        <f t="shared" si="17"/>
        <v>23</v>
      </c>
      <c r="B137" s="155">
        <v>102.08</v>
      </c>
    </row>
    <row r="138" spans="1:2" x14ac:dyDescent="0.25">
      <c r="A138" s="102">
        <f t="shared" si="17"/>
        <v>24</v>
      </c>
      <c r="B138" s="155">
        <v>102.15</v>
      </c>
    </row>
    <row r="139" spans="1:2" x14ac:dyDescent="0.25">
      <c r="A139" s="102">
        <f t="shared" si="17"/>
        <v>25</v>
      </c>
      <c r="B139" s="155">
        <v>102.37</v>
      </c>
    </row>
    <row r="140" spans="1:2" x14ac:dyDescent="0.25">
      <c r="A140" s="102">
        <f t="shared" si="17"/>
        <v>26</v>
      </c>
      <c r="B140" s="155">
        <v>102.44</v>
      </c>
    </row>
    <row r="141" spans="1:2" x14ac:dyDescent="0.25">
      <c r="A141" s="102">
        <f t="shared" si="17"/>
        <v>27</v>
      </c>
      <c r="B141" s="155">
        <v>102.51</v>
      </c>
    </row>
    <row r="142" spans="1:2" x14ac:dyDescent="0.25">
      <c r="A142" s="102">
        <f t="shared" si="17"/>
        <v>28</v>
      </c>
      <c r="B142" s="155">
        <v>102.57</v>
      </c>
    </row>
    <row r="143" spans="1:2" x14ac:dyDescent="0.25">
      <c r="A143" s="102">
        <f t="shared" si="17"/>
        <v>29</v>
      </c>
      <c r="B143" s="155">
        <v>102.6</v>
      </c>
    </row>
    <row r="144" spans="1:2" x14ac:dyDescent="0.25">
      <c r="A144" s="102">
        <f t="shared" si="17"/>
        <v>30</v>
      </c>
      <c r="B144" s="155">
        <v>102.65</v>
      </c>
    </row>
    <row r="145" spans="1:2" x14ac:dyDescent="0.25">
      <c r="A145" s="102">
        <f t="shared" si="17"/>
        <v>31</v>
      </c>
      <c r="B145" s="155">
        <v>102.69</v>
      </c>
    </row>
    <row r="146" spans="1:2" x14ac:dyDescent="0.25">
      <c r="A146" s="102">
        <f t="shared" si="17"/>
        <v>32</v>
      </c>
      <c r="B146" s="155">
        <v>102.79</v>
      </c>
    </row>
    <row r="147" spans="1:2" x14ac:dyDescent="0.25">
      <c r="A147" s="102">
        <f t="shared" si="17"/>
        <v>33</v>
      </c>
      <c r="B147" s="155">
        <v>102.93</v>
      </c>
    </row>
    <row r="148" spans="1:2" x14ac:dyDescent="0.25">
      <c r="A148" s="102">
        <f t="shared" si="17"/>
        <v>34</v>
      </c>
      <c r="B148" s="155">
        <v>103.03</v>
      </c>
    </row>
    <row r="149" spans="1:2" x14ac:dyDescent="0.25">
      <c r="A149" s="102">
        <f t="shared" si="17"/>
        <v>35</v>
      </c>
      <c r="B149" s="155">
        <v>103.2</v>
      </c>
    </row>
    <row r="150" spans="1:2" x14ac:dyDescent="0.25">
      <c r="A150" s="102">
        <f t="shared" si="17"/>
        <v>36</v>
      </c>
      <c r="B150" s="155">
        <v>103.24</v>
      </c>
    </row>
    <row r="151" spans="1:2" x14ac:dyDescent="0.25">
      <c r="A151" s="102">
        <f t="shared" si="17"/>
        <v>37</v>
      </c>
      <c r="B151" s="155">
        <v>103.26</v>
      </c>
    </row>
    <row r="152" spans="1:2" x14ac:dyDescent="0.25">
      <c r="A152" s="102">
        <f t="shared" si="17"/>
        <v>38</v>
      </c>
      <c r="B152" s="155">
        <v>103.37</v>
      </c>
    </row>
    <row r="153" spans="1:2" x14ac:dyDescent="0.25">
      <c r="A153" s="102">
        <f t="shared" si="17"/>
        <v>39</v>
      </c>
      <c r="B153" s="155">
        <v>103.5</v>
      </c>
    </row>
    <row r="154" spans="1:2" x14ac:dyDescent="0.25">
      <c r="A154" s="102">
        <f t="shared" si="17"/>
        <v>40</v>
      </c>
      <c r="B154" s="155">
        <v>103.53</v>
      </c>
    </row>
    <row r="155" spans="1:2" x14ac:dyDescent="0.25">
      <c r="A155" s="102">
        <f t="shared" si="17"/>
        <v>41</v>
      </c>
      <c r="B155" s="155">
        <v>103.56</v>
      </c>
    </row>
    <row r="156" spans="1:2" x14ac:dyDescent="0.25">
      <c r="A156" s="102">
        <f t="shared" si="17"/>
        <v>42</v>
      </c>
      <c r="B156" s="155">
        <v>103.57</v>
      </c>
    </row>
    <row r="157" spans="1:2" x14ac:dyDescent="0.25">
      <c r="A157" s="102">
        <f t="shared" si="17"/>
        <v>43</v>
      </c>
      <c r="B157" s="155">
        <v>103.58</v>
      </c>
    </row>
    <row r="158" spans="1:2" x14ac:dyDescent="0.25">
      <c r="A158" s="102">
        <f t="shared" si="17"/>
        <v>44</v>
      </c>
      <c r="B158" s="155">
        <v>103.59</v>
      </c>
    </row>
    <row r="159" spans="1:2" x14ac:dyDescent="0.25">
      <c r="A159" s="102">
        <f t="shared" si="17"/>
        <v>45</v>
      </c>
      <c r="B159" s="155">
        <v>103.59</v>
      </c>
    </row>
    <row r="160" spans="1:2" x14ac:dyDescent="0.25">
      <c r="A160" s="102">
        <f t="shared" si="17"/>
        <v>46</v>
      </c>
      <c r="B160" s="155">
        <v>103.6</v>
      </c>
    </row>
    <row r="161" spans="1:2" x14ac:dyDescent="0.25">
      <c r="A161" s="102">
        <f t="shared" si="17"/>
        <v>47</v>
      </c>
      <c r="B161" s="155">
        <v>103.75</v>
      </c>
    </row>
    <row r="162" spans="1:2" x14ac:dyDescent="0.25">
      <c r="A162" s="102">
        <f t="shared" si="17"/>
        <v>48</v>
      </c>
      <c r="B162" s="155">
        <v>103.77</v>
      </c>
    </row>
    <row r="163" spans="1:2" x14ac:dyDescent="0.25">
      <c r="A163" s="102">
        <f t="shared" si="17"/>
        <v>49</v>
      </c>
      <c r="B163" s="155">
        <v>103.81</v>
      </c>
    </row>
    <row r="164" spans="1:2" x14ac:dyDescent="0.25">
      <c r="A164" s="102">
        <f t="shared" si="17"/>
        <v>50</v>
      </c>
      <c r="B164" s="155">
        <v>103.91</v>
      </c>
    </row>
    <row r="165" spans="1:2" x14ac:dyDescent="0.25">
      <c r="A165" s="102">
        <f t="shared" si="17"/>
        <v>51</v>
      </c>
      <c r="B165" s="155">
        <v>104.04</v>
      </c>
    </row>
    <row r="166" spans="1:2" x14ac:dyDescent="0.25">
      <c r="A166" s="102">
        <f t="shared" si="17"/>
        <v>52</v>
      </c>
      <c r="B166" s="155">
        <v>104.35</v>
      </c>
    </row>
    <row r="167" spans="1:2" x14ac:dyDescent="0.25">
      <c r="A167" s="102">
        <f t="shared" si="17"/>
        <v>53</v>
      </c>
      <c r="B167" s="155">
        <v>104.42</v>
      </c>
    </row>
    <row r="168" spans="1:2" x14ac:dyDescent="0.25">
      <c r="A168" s="102">
        <f t="shared" si="17"/>
        <v>54</v>
      </c>
      <c r="B168" s="155">
        <v>104.55</v>
      </c>
    </row>
    <row r="169" spans="1:2" x14ac:dyDescent="0.25">
      <c r="A169" s="102">
        <f t="shared" si="17"/>
        <v>55</v>
      </c>
      <c r="B169" s="155">
        <v>104.66</v>
      </c>
    </row>
    <row r="170" spans="1:2" x14ac:dyDescent="0.25">
      <c r="A170" s="102">
        <f t="shared" si="17"/>
        <v>56</v>
      </c>
      <c r="B170" s="155">
        <v>105.39</v>
      </c>
    </row>
    <row r="171" spans="1:2" x14ac:dyDescent="0.25">
      <c r="A171" s="102">
        <f t="shared" si="17"/>
        <v>57</v>
      </c>
      <c r="B171" s="155">
        <v>105.45</v>
      </c>
    </row>
    <row r="172" spans="1:2" x14ac:dyDescent="0.25">
      <c r="A172" s="102">
        <f t="shared" si="17"/>
        <v>58</v>
      </c>
      <c r="B172" s="155">
        <v>105.46</v>
      </c>
    </row>
    <row r="173" spans="1:2" x14ac:dyDescent="0.25">
      <c r="A173" s="102">
        <f t="shared" si="17"/>
        <v>59</v>
      </c>
      <c r="B173" s="155">
        <v>105.5</v>
      </c>
    </row>
    <row r="174" spans="1:2" x14ac:dyDescent="0.25">
      <c r="A174" s="102">
        <f t="shared" si="17"/>
        <v>60</v>
      </c>
      <c r="B174" s="155">
        <v>105.63</v>
      </c>
    </row>
    <row r="175" spans="1:2" x14ac:dyDescent="0.25">
      <c r="A175" s="102">
        <f t="shared" si="17"/>
        <v>61</v>
      </c>
      <c r="B175" s="155">
        <v>106.34</v>
      </c>
    </row>
    <row r="176" spans="1:2" x14ac:dyDescent="0.25">
      <c r="A176" s="102">
        <f t="shared" si="17"/>
        <v>62</v>
      </c>
      <c r="B176" s="155">
        <v>106.34</v>
      </c>
    </row>
    <row r="177" spans="1:2" x14ac:dyDescent="0.25">
      <c r="A177" s="102">
        <f t="shared" si="17"/>
        <v>63</v>
      </c>
      <c r="B177" s="155">
        <v>106.53</v>
      </c>
    </row>
    <row r="178" spans="1:2" x14ac:dyDescent="0.25">
      <c r="A178" s="102">
        <f t="shared" si="17"/>
        <v>64</v>
      </c>
      <c r="B178" s="155">
        <v>106.57</v>
      </c>
    </row>
    <row r="179" spans="1:2" x14ac:dyDescent="0.25">
      <c r="A179" s="102">
        <f t="shared" si="17"/>
        <v>65</v>
      </c>
      <c r="B179" s="155">
        <v>106.72</v>
      </c>
    </row>
    <row r="180" spans="1:2" x14ac:dyDescent="0.25">
      <c r="A180" s="102">
        <f t="shared" si="17"/>
        <v>66</v>
      </c>
      <c r="B180" s="155">
        <v>106.95</v>
      </c>
    </row>
    <row r="181" spans="1:2" x14ac:dyDescent="0.25">
      <c r="A181" s="102">
        <f t="shared" ref="A181:A222" si="18">A180+1</f>
        <v>67</v>
      </c>
      <c r="B181" s="155">
        <v>107.18</v>
      </c>
    </row>
    <row r="182" spans="1:2" x14ac:dyDescent="0.25">
      <c r="A182" s="102">
        <f t="shared" si="18"/>
        <v>68</v>
      </c>
      <c r="B182" s="155">
        <v>107.24</v>
      </c>
    </row>
    <row r="183" spans="1:2" x14ac:dyDescent="0.25">
      <c r="A183" s="102">
        <f t="shared" si="18"/>
        <v>69</v>
      </c>
      <c r="B183" s="155">
        <v>107.87</v>
      </c>
    </row>
    <row r="184" spans="1:2" x14ac:dyDescent="0.25">
      <c r="A184" s="102">
        <f t="shared" si="18"/>
        <v>70</v>
      </c>
      <c r="B184" s="155">
        <v>108.1</v>
      </c>
    </row>
    <row r="185" spans="1:2" x14ac:dyDescent="0.25">
      <c r="A185" s="102">
        <f t="shared" si="18"/>
        <v>71</v>
      </c>
      <c r="B185" s="155">
        <v>108.53</v>
      </c>
    </row>
    <row r="186" spans="1:2" x14ac:dyDescent="0.25">
      <c r="A186" s="102">
        <f t="shared" si="18"/>
        <v>72</v>
      </c>
      <c r="B186" s="155">
        <v>108.76</v>
      </c>
    </row>
    <row r="187" spans="1:2" x14ac:dyDescent="0.25">
      <c r="A187" s="102">
        <f t="shared" si="18"/>
        <v>73</v>
      </c>
      <c r="B187" s="155">
        <v>110.21</v>
      </c>
    </row>
    <row r="188" spans="1:2" x14ac:dyDescent="0.25">
      <c r="A188" s="102">
        <f t="shared" si="18"/>
        <v>74</v>
      </c>
      <c r="B188" s="155">
        <v>110.25</v>
      </c>
    </row>
    <row r="189" spans="1:2" x14ac:dyDescent="0.25">
      <c r="A189" s="102">
        <f t="shared" si="18"/>
        <v>75</v>
      </c>
      <c r="B189" s="155">
        <v>110.28</v>
      </c>
    </row>
    <row r="190" spans="1:2" x14ac:dyDescent="0.25">
      <c r="A190" s="102">
        <f t="shared" si="18"/>
        <v>76</v>
      </c>
      <c r="B190" s="155">
        <v>110.7</v>
      </c>
    </row>
    <row r="191" spans="1:2" x14ac:dyDescent="0.25">
      <c r="A191" s="102">
        <f t="shared" si="18"/>
        <v>77</v>
      </c>
      <c r="B191" s="155">
        <v>110.92</v>
      </c>
    </row>
    <row r="192" spans="1:2" x14ac:dyDescent="0.25">
      <c r="A192" s="102">
        <f t="shared" si="18"/>
        <v>78</v>
      </c>
      <c r="B192" s="155">
        <v>110.94</v>
      </c>
    </row>
    <row r="193" spans="1:2" x14ac:dyDescent="0.25">
      <c r="A193" s="102">
        <f t="shared" si="18"/>
        <v>79</v>
      </c>
      <c r="B193" s="155">
        <v>111.46</v>
      </c>
    </row>
    <row r="194" spans="1:2" x14ac:dyDescent="0.25">
      <c r="A194" s="102">
        <f t="shared" si="18"/>
        <v>80</v>
      </c>
      <c r="B194" s="155">
        <v>111.62</v>
      </c>
    </row>
    <row r="195" spans="1:2" x14ac:dyDescent="0.25">
      <c r="A195" s="102">
        <f t="shared" si="18"/>
        <v>81</v>
      </c>
      <c r="B195" s="155">
        <v>111.78</v>
      </c>
    </row>
    <row r="196" spans="1:2" x14ac:dyDescent="0.25">
      <c r="A196" s="102">
        <f t="shared" si="18"/>
        <v>82</v>
      </c>
      <c r="B196" s="155">
        <v>111.84</v>
      </c>
    </row>
    <row r="197" spans="1:2" x14ac:dyDescent="0.25">
      <c r="A197" s="102">
        <f t="shared" si="18"/>
        <v>83</v>
      </c>
      <c r="B197" s="155">
        <v>111.9</v>
      </c>
    </row>
    <row r="198" spans="1:2" x14ac:dyDescent="0.25">
      <c r="A198" s="102">
        <f t="shared" si="18"/>
        <v>84</v>
      </c>
      <c r="B198" s="155">
        <v>112.16</v>
      </c>
    </row>
    <row r="199" spans="1:2" x14ac:dyDescent="0.25">
      <c r="A199" s="102">
        <f t="shared" si="18"/>
        <v>85</v>
      </c>
      <c r="B199" s="155">
        <v>112.53</v>
      </c>
    </row>
    <row r="200" spans="1:2" x14ac:dyDescent="0.25">
      <c r="A200" s="102">
        <f t="shared" si="18"/>
        <v>86</v>
      </c>
      <c r="B200" s="155">
        <v>112.83</v>
      </c>
    </row>
    <row r="201" spans="1:2" x14ac:dyDescent="0.25">
      <c r="A201" s="102">
        <f t="shared" si="18"/>
        <v>87</v>
      </c>
      <c r="B201" s="155">
        <v>112.92</v>
      </c>
    </row>
    <row r="202" spans="1:2" x14ac:dyDescent="0.25">
      <c r="A202" s="102">
        <f t="shared" si="18"/>
        <v>88</v>
      </c>
      <c r="B202" s="155">
        <v>112.95</v>
      </c>
    </row>
    <row r="203" spans="1:2" x14ac:dyDescent="0.25">
      <c r="A203" s="102">
        <f t="shared" si="18"/>
        <v>89</v>
      </c>
      <c r="B203" s="155">
        <v>112.98</v>
      </c>
    </row>
    <row r="204" spans="1:2" x14ac:dyDescent="0.25">
      <c r="A204" s="102">
        <f t="shared" si="18"/>
        <v>90</v>
      </c>
      <c r="B204" s="155">
        <v>113.08</v>
      </c>
    </row>
    <row r="205" spans="1:2" x14ac:dyDescent="0.25">
      <c r="A205" s="102">
        <f t="shared" si="18"/>
        <v>91</v>
      </c>
      <c r="B205" s="155">
        <v>113.26</v>
      </c>
    </row>
    <row r="206" spans="1:2" x14ac:dyDescent="0.25">
      <c r="A206" s="102">
        <f t="shared" si="18"/>
        <v>92</v>
      </c>
      <c r="B206" s="155">
        <v>113.57</v>
      </c>
    </row>
    <row r="207" spans="1:2" x14ac:dyDescent="0.25">
      <c r="A207" s="102">
        <f t="shared" si="18"/>
        <v>93</v>
      </c>
      <c r="B207" s="155">
        <v>113.61</v>
      </c>
    </row>
    <row r="208" spans="1:2" x14ac:dyDescent="0.25">
      <c r="A208" s="102">
        <f t="shared" si="18"/>
        <v>94</v>
      </c>
      <c r="B208" s="155">
        <v>113.72</v>
      </c>
    </row>
    <row r="209" spans="1:2" x14ac:dyDescent="0.25">
      <c r="A209" s="102">
        <f t="shared" si="18"/>
        <v>95</v>
      </c>
      <c r="B209" s="155">
        <v>113.74</v>
      </c>
    </row>
    <row r="210" spans="1:2" x14ac:dyDescent="0.25">
      <c r="A210" s="102">
        <f t="shared" si="18"/>
        <v>96</v>
      </c>
      <c r="B210" s="155">
        <v>113.82</v>
      </c>
    </row>
    <row r="211" spans="1:2" x14ac:dyDescent="0.25">
      <c r="A211" s="102">
        <f t="shared" si="18"/>
        <v>97</v>
      </c>
      <c r="B211" s="155">
        <v>113.91</v>
      </c>
    </row>
    <row r="212" spans="1:2" x14ac:dyDescent="0.25">
      <c r="A212" s="102">
        <f t="shared" si="18"/>
        <v>98</v>
      </c>
      <c r="B212" s="155">
        <v>114.12</v>
      </c>
    </row>
    <row r="213" spans="1:2" x14ac:dyDescent="0.25">
      <c r="A213" s="102">
        <f t="shared" si="18"/>
        <v>99</v>
      </c>
      <c r="B213" s="155">
        <v>114.36</v>
      </c>
    </row>
    <row r="214" spans="1:2" x14ac:dyDescent="0.25">
      <c r="A214" s="102">
        <f t="shared" si="18"/>
        <v>100</v>
      </c>
      <c r="B214" s="155">
        <v>114.52</v>
      </c>
    </row>
    <row r="215" spans="1:2" x14ac:dyDescent="0.25">
      <c r="A215" s="102">
        <f t="shared" si="18"/>
        <v>101</v>
      </c>
      <c r="B215" s="155">
        <v>114.94</v>
      </c>
    </row>
    <row r="216" spans="1:2" x14ac:dyDescent="0.25">
      <c r="A216" s="102">
        <f t="shared" si="18"/>
        <v>102</v>
      </c>
      <c r="B216" s="155">
        <v>115.13</v>
      </c>
    </row>
    <row r="217" spans="1:2" x14ac:dyDescent="0.25">
      <c r="A217" s="102">
        <f t="shared" si="18"/>
        <v>103</v>
      </c>
      <c r="B217" s="155">
        <v>115.24</v>
      </c>
    </row>
    <row r="218" spans="1:2" x14ac:dyDescent="0.25">
      <c r="A218" s="102">
        <f t="shared" si="18"/>
        <v>104</v>
      </c>
      <c r="B218" s="155">
        <v>115.25</v>
      </c>
    </row>
    <row r="219" spans="1:2" x14ac:dyDescent="0.25">
      <c r="A219" s="102">
        <f t="shared" si="18"/>
        <v>105</v>
      </c>
      <c r="B219" s="155">
        <v>115.3</v>
      </c>
    </row>
    <row r="220" spans="1:2" x14ac:dyDescent="0.25">
      <c r="A220" s="102">
        <f t="shared" si="18"/>
        <v>106</v>
      </c>
      <c r="B220" s="155">
        <v>115.39</v>
      </c>
    </row>
    <row r="221" spans="1:2" x14ac:dyDescent="0.25">
      <c r="A221" s="102">
        <f t="shared" si="18"/>
        <v>107</v>
      </c>
      <c r="B221" s="155">
        <v>115.91</v>
      </c>
    </row>
    <row r="222" spans="1:2" x14ac:dyDescent="0.25">
      <c r="A222" s="102">
        <f t="shared" si="18"/>
        <v>108</v>
      </c>
      <c r="B222" s="155">
        <v>116.26</v>
      </c>
    </row>
  </sheetData>
  <sortState xmlns:xlrd2="http://schemas.microsoft.com/office/spreadsheetml/2017/richdata2" ref="B115:B222">
    <sortCondition ref="B115:B222"/>
  </sortState>
  <mergeCells count="25">
    <mergeCell ref="J80:K80"/>
    <mergeCell ref="R45:S45"/>
    <mergeCell ref="U2:W2"/>
    <mergeCell ref="U6:W6"/>
    <mergeCell ref="U7:W7"/>
    <mergeCell ref="V10:W10"/>
    <mergeCell ref="R41:S41"/>
    <mergeCell ref="U35:V35"/>
    <mergeCell ref="U34:X34"/>
    <mergeCell ref="R28:T28"/>
    <mergeCell ref="U39:U40"/>
    <mergeCell ref="V39:V40"/>
    <mergeCell ref="T39:T40"/>
    <mergeCell ref="I62:J64"/>
    <mergeCell ref="V12:W12"/>
    <mergeCell ref="Q46:S46"/>
    <mergeCell ref="T47:T49"/>
    <mergeCell ref="U47:U49"/>
    <mergeCell ref="V47:V49"/>
    <mergeCell ref="N20:Y20"/>
    <mergeCell ref="U27:V27"/>
    <mergeCell ref="U30:V30"/>
    <mergeCell ref="R44:S44"/>
    <mergeCell ref="R42:S42"/>
    <mergeCell ref="R43:S43"/>
  </mergeCells>
  <conditionalFormatting sqref="E132:E1048576 E2:E113">
    <cfRule type="expression" dxfId="9" priority="17">
      <formula>incrementa</formula>
    </cfRule>
    <cfRule type="expression" dxfId="8" priority="18">
      <formula>incrementa</formula>
    </cfRule>
  </conditionalFormatting>
  <conditionalFormatting sqref="E2:E109">
    <cfRule type="expression" dxfId="7" priority="14">
      <formula>E2="decrementa"</formula>
    </cfRule>
    <cfRule type="expression" dxfId="6" priority="16">
      <formula>(decrementa)</formula>
    </cfRule>
  </conditionalFormatting>
  <conditionalFormatting sqref="E2:E109">
    <cfRule type="expression" dxfId="5" priority="15">
      <formula>(decrementa)</formula>
    </cfRule>
  </conditionalFormatting>
  <conditionalFormatting sqref="E2:E109">
    <cfRule type="expression" dxfId="4" priority="13">
      <formula>E2="incrementa"</formula>
    </cfRule>
  </conditionalFormatting>
  <conditionalFormatting sqref="E2:E109">
    <cfRule type="expression" dxfId="3" priority="12">
      <formula>E2="decrementa"</formula>
    </cfRule>
  </conditionalFormatting>
  <conditionalFormatting sqref="E2:E109">
    <cfRule type="expression" dxfId="2" priority="11">
      <formula>E2="incrementa"</formula>
    </cfRule>
  </conditionalFormatting>
  <conditionalFormatting sqref="M2:M10">
    <cfRule type="expression" dxfId="1" priority="1">
      <formula>M2="menos"</formula>
    </cfRule>
    <cfRule type="expression" dxfId="0" priority="2">
      <formula>M2="subio mas"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77"/>
  <sheetViews>
    <sheetView topLeftCell="K43" zoomScale="85" zoomScaleNormal="85" workbookViewId="0">
      <selection activeCell="AE58" sqref="AE58"/>
    </sheetView>
  </sheetViews>
  <sheetFormatPr baseColWidth="10" defaultRowHeight="15" x14ac:dyDescent="0.25"/>
  <cols>
    <col min="1" max="1" width="11.42578125" style="185"/>
    <col min="7" max="7" width="3.28515625" customWidth="1"/>
    <col min="8" max="8" width="9.85546875" bestFit="1" customWidth="1"/>
    <col min="10" max="10" width="13.42578125" bestFit="1" customWidth="1"/>
    <col min="11" max="11" width="7" bestFit="1" customWidth="1"/>
    <col min="12" max="12" width="2.42578125" customWidth="1"/>
    <col min="13" max="13" width="5.42578125" bestFit="1" customWidth="1"/>
    <col min="14" max="14" width="10.140625" bestFit="1" customWidth="1"/>
    <col min="15" max="16" width="7.140625" bestFit="1" customWidth="1"/>
    <col min="17" max="17" width="4.42578125" bestFit="1" customWidth="1"/>
    <col min="18" max="18" width="6" bestFit="1" customWidth="1"/>
    <col min="19" max="19" width="17.140625" bestFit="1" customWidth="1"/>
    <col min="20" max="20" width="13.7109375" bestFit="1" customWidth="1"/>
    <col min="21" max="21" width="10.5703125" bestFit="1" customWidth="1"/>
    <col min="22" max="22" width="11" bestFit="1" customWidth="1"/>
    <col min="23" max="23" width="12.7109375" bestFit="1" customWidth="1"/>
    <col min="24" max="24" width="11.85546875" bestFit="1" customWidth="1"/>
    <col min="30" max="30" width="12.42578125" bestFit="1" customWidth="1"/>
  </cols>
  <sheetData>
    <row r="1" spans="1:18" ht="15.75" thickBot="1" x14ac:dyDescent="0.3">
      <c r="A1" s="186" t="s">
        <v>346</v>
      </c>
      <c r="B1" s="185" t="s">
        <v>57</v>
      </c>
      <c r="C1" s="186" t="s">
        <v>32</v>
      </c>
      <c r="D1" s="186" t="s">
        <v>37</v>
      </c>
      <c r="E1" s="186" t="s">
        <v>35</v>
      </c>
      <c r="F1" s="186" t="s">
        <v>60</v>
      </c>
      <c r="G1" s="188"/>
      <c r="M1" s="557" t="s">
        <v>341</v>
      </c>
      <c r="N1" s="559"/>
      <c r="O1" s="559"/>
      <c r="P1" s="559"/>
      <c r="Q1" s="559"/>
      <c r="R1" s="558"/>
    </row>
    <row r="2" spans="1:18" ht="15.75" thickBot="1" x14ac:dyDescent="0.3">
      <c r="A2" s="186">
        <v>1</v>
      </c>
      <c r="B2" s="205" t="s">
        <v>147</v>
      </c>
      <c r="C2" s="71">
        <v>100</v>
      </c>
      <c r="D2" s="187">
        <v>141</v>
      </c>
      <c r="E2" s="71">
        <v>227</v>
      </c>
      <c r="F2" s="71">
        <v>61</v>
      </c>
      <c r="G2" s="83"/>
      <c r="H2" s="557" t="s">
        <v>32</v>
      </c>
      <c r="I2" s="558"/>
      <c r="J2" s="219" t="s">
        <v>267</v>
      </c>
      <c r="K2" s="199">
        <f>I4-I3</f>
        <v>16.260000000000005</v>
      </c>
      <c r="M2" s="190" t="s">
        <v>327</v>
      </c>
      <c r="N2" s="191" t="s">
        <v>328</v>
      </c>
      <c r="O2" s="191" t="s">
        <v>329</v>
      </c>
      <c r="P2" s="191" t="s">
        <v>330</v>
      </c>
      <c r="Q2" s="191" t="s">
        <v>331</v>
      </c>
      <c r="R2" s="192" t="s">
        <v>332</v>
      </c>
    </row>
    <row r="3" spans="1:18" x14ac:dyDescent="0.25">
      <c r="A3" s="186">
        <f>A2+1</f>
        <v>2</v>
      </c>
      <c r="B3" s="205" t="s">
        <v>148</v>
      </c>
      <c r="C3" s="71">
        <v>100.75</v>
      </c>
      <c r="D3" s="187">
        <v>139</v>
      </c>
      <c r="E3" s="71">
        <v>295</v>
      </c>
      <c r="F3" s="71">
        <v>41</v>
      </c>
      <c r="G3" s="83"/>
      <c r="H3" s="220" t="s">
        <v>263</v>
      </c>
      <c r="I3" s="220">
        <f>MIN(C:C)</f>
        <v>100</v>
      </c>
      <c r="J3" s="101" t="s">
        <v>337</v>
      </c>
      <c r="K3" s="101">
        <v>5</v>
      </c>
      <c r="M3" s="193">
        <v>1</v>
      </c>
      <c r="N3" s="194" t="s">
        <v>342</v>
      </c>
      <c r="O3" s="194">
        <f>I3</f>
        <v>100</v>
      </c>
      <c r="P3" s="203">
        <f>O3+$K$4</f>
        <v>103.252</v>
      </c>
      <c r="Q3" s="195">
        <f t="array" ref="Q3:Q7">FREQUENCY(C:C,P3:P7)</f>
        <v>36</v>
      </c>
      <c r="R3" s="207">
        <f>Q3/$Q$8</f>
        <v>0.3364485981308411</v>
      </c>
    </row>
    <row r="4" spans="1:18" x14ac:dyDescent="0.25">
      <c r="A4" s="186">
        <f t="shared" ref="A4:A67" si="0">A3+1</f>
        <v>3</v>
      </c>
      <c r="B4" s="205" t="s">
        <v>149</v>
      </c>
      <c r="C4" s="71">
        <v>100.86</v>
      </c>
      <c r="D4" s="187">
        <v>102</v>
      </c>
      <c r="E4" s="71">
        <v>223</v>
      </c>
      <c r="F4" s="71">
        <v>64</v>
      </c>
      <c r="G4" s="83"/>
      <c r="H4" s="98" t="s">
        <v>264</v>
      </c>
      <c r="I4" s="98">
        <f>MAX(C:C)</f>
        <v>116.26</v>
      </c>
      <c r="J4" s="101" t="s">
        <v>338</v>
      </c>
      <c r="K4" s="199">
        <f>K2/K3</f>
        <v>3.2520000000000011</v>
      </c>
      <c r="M4" s="193">
        <f>M3+1</f>
        <v>2</v>
      </c>
      <c r="N4" s="194" t="s">
        <v>340</v>
      </c>
      <c r="O4" s="203">
        <f>P3</f>
        <v>103.252</v>
      </c>
      <c r="P4" s="203">
        <f>O4+$K$4</f>
        <v>106.50399999999999</v>
      </c>
      <c r="Q4" s="195">
        <v>26</v>
      </c>
      <c r="R4" s="207">
        <f t="shared" ref="R4:R7" si="1">Q4/$Q$8</f>
        <v>0.24299065420560748</v>
      </c>
    </row>
    <row r="5" spans="1:18" x14ac:dyDescent="0.25">
      <c r="A5" s="186">
        <f t="shared" si="0"/>
        <v>4</v>
      </c>
      <c r="B5" s="205" t="s">
        <v>150</v>
      </c>
      <c r="C5" s="71">
        <v>101.76</v>
      </c>
      <c r="D5" s="187">
        <v>116</v>
      </c>
      <c r="E5" s="71">
        <v>196</v>
      </c>
      <c r="F5" s="71">
        <v>60</v>
      </c>
      <c r="G5" s="83"/>
      <c r="J5" s="101" t="s">
        <v>347</v>
      </c>
      <c r="K5" s="98">
        <f>_xlfn.MODE.MULT(C:C)</f>
        <v>100.86</v>
      </c>
      <c r="M5" s="193">
        <f t="shared" ref="M5:M6" si="2">M4+1</f>
        <v>3</v>
      </c>
      <c r="N5" s="194" t="s">
        <v>339</v>
      </c>
      <c r="O5" s="203">
        <f>P4</f>
        <v>106.50399999999999</v>
      </c>
      <c r="P5" s="203">
        <f>O5+$K$4</f>
        <v>109.75599999999999</v>
      </c>
      <c r="Q5" s="195">
        <v>10</v>
      </c>
      <c r="R5" s="207">
        <f t="shared" si="1"/>
        <v>9.3457943925233641E-2</v>
      </c>
    </row>
    <row r="6" spans="1:18" x14ac:dyDescent="0.25">
      <c r="A6" s="186">
        <f t="shared" si="0"/>
        <v>5</v>
      </c>
      <c r="B6" s="205" t="s">
        <v>151</v>
      </c>
      <c r="C6" s="71">
        <v>103.57</v>
      </c>
      <c r="D6" s="187">
        <v>133</v>
      </c>
      <c r="E6" s="71">
        <v>233</v>
      </c>
      <c r="F6" s="71">
        <v>43</v>
      </c>
      <c r="G6" s="83"/>
      <c r="H6" s="210"/>
      <c r="I6" s="135"/>
      <c r="J6" s="101" t="s">
        <v>350</v>
      </c>
      <c r="K6" s="199">
        <f>AVERAGE(C:C)</f>
        <v>106.72490740740741</v>
      </c>
      <c r="M6" s="193">
        <f t="shared" si="2"/>
        <v>4</v>
      </c>
      <c r="N6" s="194" t="s">
        <v>335</v>
      </c>
      <c r="O6" s="203">
        <f>P5</f>
        <v>109.75599999999999</v>
      </c>
      <c r="P6" s="203">
        <f>O6+$K$4</f>
        <v>113.00799999999998</v>
      </c>
      <c r="Q6" s="195">
        <v>17</v>
      </c>
      <c r="R6" s="207">
        <f t="shared" si="1"/>
        <v>0.15887850467289719</v>
      </c>
    </row>
    <row r="7" spans="1:18" ht="15.75" thickBot="1" x14ac:dyDescent="0.3">
      <c r="A7" s="186">
        <f t="shared" si="0"/>
        <v>6</v>
      </c>
      <c r="B7" s="205" t="s">
        <v>152</v>
      </c>
      <c r="C7" s="71">
        <v>103.59</v>
      </c>
      <c r="D7" s="187">
        <v>81</v>
      </c>
      <c r="E7" s="71">
        <v>192</v>
      </c>
      <c r="F7" s="71">
        <v>76</v>
      </c>
      <c r="G7" s="83"/>
      <c r="H7" s="135"/>
      <c r="I7" s="135"/>
      <c r="J7" s="101" t="s">
        <v>349</v>
      </c>
      <c r="K7" s="199">
        <f>MEDIAN(C:C)</f>
        <v>104.60499999999999</v>
      </c>
      <c r="M7" s="193">
        <f>M6+1</f>
        <v>5</v>
      </c>
      <c r="N7" s="194" t="s">
        <v>336</v>
      </c>
      <c r="O7" s="203">
        <f>P6</f>
        <v>113.00799999999998</v>
      </c>
      <c r="P7" s="203">
        <f>O7+$K$4</f>
        <v>116.25999999999998</v>
      </c>
      <c r="Q7" s="195">
        <v>18</v>
      </c>
      <c r="R7" s="207">
        <f t="shared" si="1"/>
        <v>0.16822429906542055</v>
      </c>
    </row>
    <row r="8" spans="1:18" ht="15.75" thickBot="1" x14ac:dyDescent="0.3">
      <c r="A8" s="186">
        <f t="shared" si="0"/>
        <v>7</v>
      </c>
      <c r="B8" s="205" t="s">
        <v>153</v>
      </c>
      <c r="C8" s="71">
        <v>103.6</v>
      </c>
      <c r="D8" s="187">
        <v>72</v>
      </c>
      <c r="E8" s="71">
        <v>190</v>
      </c>
      <c r="F8" s="71">
        <v>54</v>
      </c>
      <c r="G8" s="83"/>
      <c r="H8" s="135"/>
      <c r="I8" s="135"/>
      <c r="J8" s="101"/>
      <c r="K8" s="212"/>
      <c r="M8" s="560" t="s">
        <v>333</v>
      </c>
      <c r="N8" s="561"/>
      <c r="O8" s="197"/>
      <c r="P8" s="197"/>
      <c r="Q8" s="198">
        <f>SUM(Q3:Q7)</f>
        <v>107</v>
      </c>
      <c r="R8" s="206">
        <f>SUM(R3:R7)</f>
        <v>1</v>
      </c>
    </row>
    <row r="9" spans="1:18" ht="15.75" thickBot="1" x14ac:dyDescent="0.3">
      <c r="A9" s="186">
        <f t="shared" si="0"/>
        <v>8</v>
      </c>
      <c r="B9" s="205" t="s">
        <v>154</v>
      </c>
      <c r="C9" s="71">
        <v>105.5</v>
      </c>
      <c r="D9" s="187">
        <v>120</v>
      </c>
      <c r="E9" s="71">
        <v>161</v>
      </c>
      <c r="F9" s="71">
        <v>28</v>
      </c>
      <c r="G9" s="83"/>
      <c r="H9" s="135"/>
      <c r="I9" s="135"/>
      <c r="J9" s="188"/>
      <c r="K9" s="200"/>
      <c r="M9" s="557" t="s">
        <v>334</v>
      </c>
      <c r="N9" s="559"/>
      <c r="O9" s="559"/>
      <c r="P9" s="559"/>
      <c r="Q9" s="559"/>
      <c r="R9" s="558"/>
    </row>
    <row r="10" spans="1:18" ht="15.75" thickBot="1" x14ac:dyDescent="0.3">
      <c r="A10" s="186">
        <f t="shared" si="0"/>
        <v>9</v>
      </c>
      <c r="B10" s="205" t="s">
        <v>155</v>
      </c>
      <c r="C10" s="71">
        <v>106.57</v>
      </c>
      <c r="D10" s="187">
        <v>96</v>
      </c>
      <c r="E10" s="71">
        <v>231</v>
      </c>
      <c r="F10" s="71">
        <v>75</v>
      </c>
      <c r="G10" s="83"/>
    </row>
    <row r="11" spans="1:18" ht="15.75" thickBot="1" x14ac:dyDescent="0.3">
      <c r="A11" s="186">
        <f t="shared" si="0"/>
        <v>10</v>
      </c>
      <c r="B11" s="205" t="s">
        <v>156</v>
      </c>
      <c r="C11" s="71">
        <v>106.34</v>
      </c>
      <c r="D11" s="187">
        <v>147</v>
      </c>
      <c r="E11" s="71">
        <v>225</v>
      </c>
      <c r="F11" s="71">
        <v>27</v>
      </c>
      <c r="G11" s="83"/>
      <c r="M11" s="557" t="s">
        <v>343</v>
      </c>
      <c r="N11" s="559"/>
      <c r="O11" s="559"/>
      <c r="P11" s="559"/>
      <c r="Q11" s="559"/>
      <c r="R11" s="558"/>
    </row>
    <row r="12" spans="1:18" ht="15.75" thickBot="1" x14ac:dyDescent="0.3">
      <c r="A12" s="186">
        <f t="shared" si="0"/>
        <v>11</v>
      </c>
      <c r="B12" s="205" t="s">
        <v>157</v>
      </c>
      <c r="C12" s="71">
        <v>107.18</v>
      </c>
      <c r="D12" s="187">
        <v>140</v>
      </c>
      <c r="E12" s="71">
        <v>296</v>
      </c>
      <c r="F12" s="71">
        <v>54</v>
      </c>
      <c r="G12" s="83"/>
      <c r="H12" s="557" t="s">
        <v>37</v>
      </c>
      <c r="I12" s="558"/>
      <c r="J12" s="219" t="s">
        <v>267</v>
      </c>
      <c r="K12" s="202">
        <f>I14-I13</f>
        <v>100</v>
      </c>
      <c r="M12" s="190" t="s">
        <v>327</v>
      </c>
      <c r="N12" s="191" t="s">
        <v>328</v>
      </c>
      <c r="O12" s="191" t="s">
        <v>329</v>
      </c>
      <c r="P12" s="191" t="s">
        <v>330</v>
      </c>
      <c r="Q12" s="191" t="s">
        <v>331</v>
      </c>
      <c r="R12" s="192" t="s">
        <v>332</v>
      </c>
    </row>
    <row r="13" spans="1:18" x14ac:dyDescent="0.25">
      <c r="A13" s="186">
        <f t="shared" si="0"/>
        <v>12</v>
      </c>
      <c r="B13" s="205" t="s">
        <v>158</v>
      </c>
      <c r="C13" s="71">
        <v>106.95</v>
      </c>
      <c r="D13" s="187">
        <v>58</v>
      </c>
      <c r="E13" s="71">
        <v>226</v>
      </c>
      <c r="F13" s="71">
        <v>80</v>
      </c>
      <c r="G13" s="83"/>
      <c r="H13" s="220" t="s">
        <v>263</v>
      </c>
      <c r="I13" s="221">
        <f>MIN(D:D)</f>
        <v>50</v>
      </c>
      <c r="J13" s="101" t="s">
        <v>337</v>
      </c>
      <c r="K13" s="101">
        <v>5</v>
      </c>
      <c r="M13" s="193">
        <v>1</v>
      </c>
      <c r="N13" s="194" t="s">
        <v>342</v>
      </c>
      <c r="O13" s="204">
        <f>I13</f>
        <v>50</v>
      </c>
      <c r="P13" s="204">
        <f>O13+$K$14</f>
        <v>70</v>
      </c>
      <c r="Q13" s="195">
        <f t="array" ref="Q13:Q17">FREQUENCY(D:D,P13:P17)</f>
        <v>19</v>
      </c>
      <c r="R13" s="196">
        <f>Q13/$Q$18</f>
        <v>0.17592592592592593</v>
      </c>
    </row>
    <row r="14" spans="1:18" x14ac:dyDescent="0.25">
      <c r="A14" s="186">
        <f t="shared" si="0"/>
        <v>13</v>
      </c>
      <c r="B14" s="205" t="s">
        <v>159</v>
      </c>
      <c r="C14" s="71">
        <v>106.72</v>
      </c>
      <c r="D14" s="187">
        <v>98</v>
      </c>
      <c r="E14" s="71">
        <v>239</v>
      </c>
      <c r="F14" s="71">
        <v>63</v>
      </c>
      <c r="G14" s="83"/>
      <c r="H14" s="98" t="s">
        <v>264</v>
      </c>
      <c r="I14" s="208">
        <f>MAX(D2:D109)</f>
        <v>150</v>
      </c>
      <c r="J14" s="101" t="s">
        <v>338</v>
      </c>
      <c r="K14" s="101">
        <f>K12/K13</f>
        <v>20</v>
      </c>
      <c r="M14" s="193">
        <f>M13+1</f>
        <v>2</v>
      </c>
      <c r="N14" s="194" t="s">
        <v>340</v>
      </c>
      <c r="O14" s="204">
        <f>P13</f>
        <v>70</v>
      </c>
      <c r="P14" s="204">
        <f>O14+$K$14</f>
        <v>90</v>
      </c>
      <c r="Q14" s="195">
        <v>23</v>
      </c>
      <c r="R14" s="196">
        <f t="shared" ref="R14:R17" si="3">Q14/$Q$18</f>
        <v>0.21296296296296297</v>
      </c>
    </row>
    <row r="15" spans="1:18" x14ac:dyDescent="0.25">
      <c r="A15" s="186">
        <f t="shared" si="0"/>
        <v>14</v>
      </c>
      <c r="B15" s="205" t="s">
        <v>160</v>
      </c>
      <c r="C15" s="71">
        <v>107.24</v>
      </c>
      <c r="D15" s="187">
        <v>146</v>
      </c>
      <c r="E15" s="71">
        <v>235</v>
      </c>
      <c r="F15" s="71">
        <v>80</v>
      </c>
      <c r="G15" s="83"/>
      <c r="J15" s="101" t="s">
        <v>347</v>
      </c>
      <c r="K15" s="98">
        <f>_xlfn.MODE.MULT(D:D)</f>
        <v>149</v>
      </c>
      <c r="M15" s="193">
        <f t="shared" ref="M15:M16" si="4">M14+1</f>
        <v>3</v>
      </c>
      <c r="N15" s="194" t="s">
        <v>339</v>
      </c>
      <c r="O15" s="204">
        <f>P14</f>
        <v>90</v>
      </c>
      <c r="P15" s="204">
        <f>O15+$K$14</f>
        <v>110</v>
      </c>
      <c r="Q15" s="195">
        <v>16</v>
      </c>
      <c r="R15" s="196">
        <f t="shared" si="3"/>
        <v>0.14814814814814814</v>
      </c>
    </row>
    <row r="16" spans="1:18" x14ac:dyDescent="0.25">
      <c r="A16" s="186">
        <f t="shared" si="0"/>
        <v>15</v>
      </c>
      <c r="B16" s="205" t="s">
        <v>161</v>
      </c>
      <c r="C16" s="71">
        <v>105.46</v>
      </c>
      <c r="D16" s="187">
        <v>63</v>
      </c>
      <c r="E16" s="71">
        <v>262</v>
      </c>
      <c r="F16" s="71">
        <v>49</v>
      </c>
      <c r="G16" s="83"/>
      <c r="H16" s="135"/>
      <c r="I16" s="189"/>
      <c r="J16" s="101" t="s">
        <v>348</v>
      </c>
      <c r="K16" s="202">
        <f>AVERAGE(D2:D109)</f>
        <v>104.51851851851852</v>
      </c>
      <c r="M16" s="193">
        <f t="shared" si="4"/>
        <v>4</v>
      </c>
      <c r="N16" s="194" t="s">
        <v>335</v>
      </c>
      <c r="O16" s="204">
        <f>P15</f>
        <v>110</v>
      </c>
      <c r="P16" s="204">
        <f>O16+$K$14</f>
        <v>130</v>
      </c>
      <c r="Q16" s="195">
        <v>19</v>
      </c>
      <c r="R16" s="196">
        <f t="shared" si="3"/>
        <v>0.17592592592592593</v>
      </c>
    </row>
    <row r="17" spans="1:18" ht="15.75" thickBot="1" x14ac:dyDescent="0.3">
      <c r="A17" s="186">
        <f t="shared" si="0"/>
        <v>16</v>
      </c>
      <c r="B17" s="205" t="s">
        <v>162</v>
      </c>
      <c r="C17" s="71">
        <v>103.91</v>
      </c>
      <c r="D17" s="187">
        <v>150</v>
      </c>
      <c r="E17" s="71">
        <v>196</v>
      </c>
      <c r="F17" s="71">
        <v>42</v>
      </c>
      <c r="G17" s="83"/>
      <c r="H17" s="135"/>
      <c r="I17" s="189"/>
      <c r="J17" s="101" t="s">
        <v>349</v>
      </c>
      <c r="K17" s="202">
        <f>MEDIAN(D:D)</f>
        <v>105.5</v>
      </c>
      <c r="M17" s="193">
        <f>M16+1</f>
        <v>5</v>
      </c>
      <c r="N17" s="194" t="s">
        <v>336</v>
      </c>
      <c r="O17" s="204">
        <f>P16</f>
        <v>130</v>
      </c>
      <c r="P17" s="204">
        <f>O17+$K$14</f>
        <v>150</v>
      </c>
      <c r="Q17" s="195">
        <v>31</v>
      </c>
      <c r="R17" s="196">
        <f t="shared" si="3"/>
        <v>0.28703703703703703</v>
      </c>
    </row>
    <row r="18" spans="1:18" ht="15.75" thickBot="1" x14ac:dyDescent="0.3">
      <c r="A18" s="186">
        <f t="shared" si="0"/>
        <v>17</v>
      </c>
      <c r="B18" s="205" t="s">
        <v>163</v>
      </c>
      <c r="C18" s="71">
        <v>103.58</v>
      </c>
      <c r="D18" s="187">
        <v>150</v>
      </c>
      <c r="E18" s="71">
        <v>177</v>
      </c>
      <c r="F18" s="71">
        <v>69</v>
      </c>
      <c r="G18" s="83"/>
      <c r="H18" s="135"/>
      <c r="I18" s="189"/>
      <c r="J18" s="188"/>
      <c r="K18" s="211"/>
      <c r="M18" s="560" t="s">
        <v>333</v>
      </c>
      <c r="N18" s="561"/>
      <c r="O18" s="197"/>
      <c r="P18" s="197"/>
      <c r="Q18" s="198">
        <f>SUM(Q13:Q17)</f>
        <v>108</v>
      </c>
      <c r="R18" s="206">
        <f>SUM(R13:R17)</f>
        <v>1</v>
      </c>
    </row>
    <row r="19" spans="1:18" ht="15.75" thickBot="1" x14ac:dyDescent="0.3">
      <c r="A19" s="186">
        <f t="shared" si="0"/>
        <v>18</v>
      </c>
      <c r="B19" s="205" t="s">
        <v>164</v>
      </c>
      <c r="C19" s="71">
        <v>102.79</v>
      </c>
      <c r="D19" s="187">
        <v>125</v>
      </c>
      <c r="E19" s="71">
        <v>268</v>
      </c>
      <c r="F19" s="71">
        <v>78</v>
      </c>
      <c r="G19" s="83"/>
      <c r="H19" s="135"/>
      <c r="I19" s="189"/>
      <c r="J19" s="188"/>
      <c r="K19" s="201"/>
      <c r="M19" s="557" t="s">
        <v>334</v>
      </c>
      <c r="N19" s="559"/>
      <c r="O19" s="559"/>
      <c r="P19" s="559"/>
      <c r="Q19" s="559"/>
      <c r="R19" s="558"/>
    </row>
    <row r="20" spans="1:18" ht="15.75" thickBot="1" x14ac:dyDescent="0.3">
      <c r="A20" s="186">
        <f t="shared" si="0"/>
        <v>19</v>
      </c>
      <c r="B20" s="205" t="s">
        <v>165</v>
      </c>
      <c r="C20" s="71">
        <v>103.37</v>
      </c>
      <c r="D20" s="187">
        <v>50</v>
      </c>
      <c r="E20" s="71">
        <v>284</v>
      </c>
      <c r="F20" s="71">
        <v>52</v>
      </c>
      <c r="G20" s="83"/>
    </row>
    <row r="21" spans="1:18" ht="15.75" thickBot="1" x14ac:dyDescent="0.3">
      <c r="A21" s="186">
        <f t="shared" si="0"/>
        <v>20</v>
      </c>
      <c r="B21" s="205" t="s">
        <v>166</v>
      </c>
      <c r="C21" s="71">
        <v>102.69</v>
      </c>
      <c r="D21" s="187">
        <v>73</v>
      </c>
      <c r="E21" s="71">
        <v>290</v>
      </c>
      <c r="F21" s="71">
        <v>46</v>
      </c>
      <c r="G21" s="83"/>
      <c r="M21" s="557" t="s">
        <v>344</v>
      </c>
      <c r="N21" s="559"/>
      <c r="O21" s="559"/>
      <c r="P21" s="559"/>
      <c r="Q21" s="559"/>
      <c r="R21" s="558"/>
    </row>
    <row r="22" spans="1:18" ht="15.75" thickBot="1" x14ac:dyDescent="0.3">
      <c r="A22" s="186">
        <f t="shared" si="0"/>
        <v>21</v>
      </c>
      <c r="B22" s="205" t="s">
        <v>167</v>
      </c>
      <c r="C22" s="71">
        <v>101.5</v>
      </c>
      <c r="D22" s="187">
        <v>149</v>
      </c>
      <c r="E22" s="71">
        <v>237</v>
      </c>
      <c r="F22" s="71">
        <v>68</v>
      </c>
      <c r="G22" s="83"/>
      <c r="M22" s="190" t="s">
        <v>327</v>
      </c>
      <c r="N22" s="191" t="s">
        <v>328</v>
      </c>
      <c r="O22" s="191" t="s">
        <v>329</v>
      </c>
      <c r="P22" s="191" t="s">
        <v>330</v>
      </c>
      <c r="Q22" s="191" t="s">
        <v>331</v>
      </c>
      <c r="R22" s="192" t="s">
        <v>332</v>
      </c>
    </row>
    <row r="23" spans="1:18" ht="15.75" thickBot="1" x14ac:dyDescent="0.3">
      <c r="A23" s="186">
        <f t="shared" si="0"/>
        <v>22</v>
      </c>
      <c r="B23" s="205" t="s">
        <v>168</v>
      </c>
      <c r="C23" s="71">
        <v>103.24</v>
      </c>
      <c r="D23" s="187">
        <v>119</v>
      </c>
      <c r="E23" s="71">
        <v>272</v>
      </c>
      <c r="F23" s="71">
        <v>67</v>
      </c>
      <c r="G23" s="83"/>
      <c r="H23" s="557" t="s">
        <v>35</v>
      </c>
      <c r="I23" s="558"/>
      <c r="J23" s="219" t="s">
        <v>267</v>
      </c>
      <c r="K23" s="101">
        <f>I25-I24</f>
        <v>149</v>
      </c>
      <c r="M23" s="193">
        <v>1</v>
      </c>
      <c r="N23" s="194" t="s">
        <v>342</v>
      </c>
      <c r="O23" s="194">
        <f>I24</f>
        <v>150</v>
      </c>
      <c r="P23" s="194">
        <f>O23+$K$25</f>
        <v>179.8</v>
      </c>
      <c r="Q23" s="195">
        <f t="array" ref="Q23:Q27">FREQUENCY(E:E,P23:P27)</f>
        <v>19</v>
      </c>
      <c r="R23" s="196">
        <f>Q23/$Q$28</f>
        <v>0.17592592592592593</v>
      </c>
    </row>
    <row r="24" spans="1:18" x14ac:dyDescent="0.25">
      <c r="A24" s="186">
        <f t="shared" si="0"/>
        <v>23</v>
      </c>
      <c r="B24" s="205" t="s">
        <v>169</v>
      </c>
      <c r="C24" s="71">
        <v>103.26</v>
      </c>
      <c r="D24" s="187">
        <v>117</v>
      </c>
      <c r="E24" s="71">
        <v>233</v>
      </c>
      <c r="F24" s="71">
        <v>42</v>
      </c>
      <c r="G24" s="83"/>
      <c r="H24" s="220" t="s">
        <v>263</v>
      </c>
      <c r="I24" s="220">
        <f>MIN(E:E)</f>
        <v>150</v>
      </c>
      <c r="J24" s="101" t="s">
        <v>337</v>
      </c>
      <c r="K24" s="101">
        <v>5</v>
      </c>
      <c r="M24" s="193">
        <f>M23+1</f>
        <v>2</v>
      </c>
      <c r="N24" s="194" t="s">
        <v>340</v>
      </c>
      <c r="O24" s="194">
        <f>P23</f>
        <v>179.8</v>
      </c>
      <c r="P24" s="194">
        <f>O24+$K$25</f>
        <v>209.60000000000002</v>
      </c>
      <c r="Q24" s="195">
        <v>21</v>
      </c>
      <c r="R24" s="196">
        <f t="shared" ref="R24:R27" si="5">Q24/$Q$28</f>
        <v>0.19444444444444445</v>
      </c>
    </row>
    <row r="25" spans="1:18" x14ac:dyDescent="0.25">
      <c r="A25" s="186">
        <f t="shared" si="0"/>
        <v>24</v>
      </c>
      <c r="B25" s="205" t="s">
        <v>170</v>
      </c>
      <c r="C25" s="71">
        <v>103.59</v>
      </c>
      <c r="D25" s="187">
        <v>69</v>
      </c>
      <c r="E25" s="71">
        <v>291</v>
      </c>
      <c r="F25" s="71">
        <v>23</v>
      </c>
      <c r="G25" s="83"/>
      <c r="H25" s="98" t="s">
        <v>264</v>
      </c>
      <c r="I25" s="98">
        <f>MAX(E:E)</f>
        <v>299</v>
      </c>
      <c r="J25" s="101" t="s">
        <v>338</v>
      </c>
      <c r="K25" s="101">
        <f>K23/K24</f>
        <v>29.8</v>
      </c>
      <c r="M25" s="193">
        <f t="shared" ref="M25:M26" si="6">M24+1</f>
        <v>3</v>
      </c>
      <c r="N25" s="194" t="s">
        <v>339</v>
      </c>
      <c r="O25" s="194">
        <f t="shared" ref="O25:O27" si="7">P24</f>
        <v>209.60000000000002</v>
      </c>
      <c r="P25" s="194">
        <f>O25+$K$25</f>
        <v>239.40000000000003</v>
      </c>
      <c r="Q25" s="195">
        <v>31</v>
      </c>
      <c r="R25" s="196">
        <f t="shared" si="5"/>
        <v>0.28703703703703703</v>
      </c>
    </row>
    <row r="26" spans="1:18" x14ac:dyDescent="0.25">
      <c r="A26" s="186">
        <f t="shared" si="0"/>
        <v>25</v>
      </c>
      <c r="B26" s="205" t="s">
        <v>171</v>
      </c>
      <c r="C26" s="71">
        <v>102.37</v>
      </c>
      <c r="D26" s="187">
        <v>70</v>
      </c>
      <c r="E26" s="71">
        <v>284</v>
      </c>
      <c r="F26" s="71">
        <v>69</v>
      </c>
      <c r="G26" s="83"/>
      <c r="J26" s="101" t="s">
        <v>347</v>
      </c>
      <c r="K26" s="98">
        <f>_xlfn.MODE.MULT(E:E)</f>
        <v>233</v>
      </c>
      <c r="M26" s="193">
        <f t="shared" si="6"/>
        <v>4</v>
      </c>
      <c r="N26" s="194" t="s">
        <v>335</v>
      </c>
      <c r="O26" s="194">
        <f t="shared" si="7"/>
        <v>239.40000000000003</v>
      </c>
      <c r="P26" s="194">
        <f>O26+$K$25</f>
        <v>269.20000000000005</v>
      </c>
      <c r="Q26" s="195">
        <v>14</v>
      </c>
      <c r="R26" s="196">
        <f t="shared" si="5"/>
        <v>0.12962962962962962</v>
      </c>
    </row>
    <row r="27" spans="1:18" ht="15.75" thickBot="1" x14ac:dyDescent="0.3">
      <c r="A27" s="186">
        <f t="shared" si="0"/>
        <v>26</v>
      </c>
      <c r="B27" s="205" t="s">
        <v>172</v>
      </c>
      <c r="C27" s="71">
        <v>102.07</v>
      </c>
      <c r="D27" s="187">
        <v>89</v>
      </c>
      <c r="E27" s="71">
        <v>247</v>
      </c>
      <c r="F27" s="71">
        <v>76</v>
      </c>
      <c r="G27" s="83"/>
      <c r="H27" s="135"/>
      <c r="I27" s="135"/>
      <c r="J27" s="101" t="s">
        <v>348</v>
      </c>
      <c r="K27" s="199">
        <f>AVERAGE(E:E)</f>
        <v>225.7037037037037</v>
      </c>
      <c r="M27" s="193">
        <f>M26+1</f>
        <v>5</v>
      </c>
      <c r="N27" s="194" t="s">
        <v>336</v>
      </c>
      <c r="O27" s="194">
        <f t="shared" si="7"/>
        <v>269.20000000000005</v>
      </c>
      <c r="P27" s="194">
        <f>O27+$K$25</f>
        <v>299.00000000000006</v>
      </c>
      <c r="Q27" s="195">
        <v>23</v>
      </c>
      <c r="R27" s="196">
        <f t="shared" si="5"/>
        <v>0.21296296296296297</v>
      </c>
    </row>
    <row r="28" spans="1:18" ht="15.75" thickBot="1" x14ac:dyDescent="0.3">
      <c r="A28" s="186">
        <f t="shared" si="0"/>
        <v>27</v>
      </c>
      <c r="B28" s="205" t="s">
        <v>173</v>
      </c>
      <c r="C28" s="71">
        <v>102.44</v>
      </c>
      <c r="D28" s="187">
        <v>137</v>
      </c>
      <c r="E28" s="71">
        <v>269</v>
      </c>
      <c r="F28" s="71">
        <v>48</v>
      </c>
      <c r="G28" s="83"/>
      <c r="H28" s="135"/>
      <c r="I28" s="135"/>
      <c r="J28" s="101" t="s">
        <v>349</v>
      </c>
      <c r="K28" s="199">
        <f>MEDIAN(E:E)</f>
        <v>225.5</v>
      </c>
      <c r="M28" s="560" t="s">
        <v>333</v>
      </c>
      <c r="N28" s="561"/>
      <c r="O28" s="197"/>
      <c r="P28" s="197"/>
      <c r="Q28" s="198">
        <f>SUM(Q23:Q27)</f>
        <v>108</v>
      </c>
      <c r="R28" s="206">
        <f>SUM(R23:R27)</f>
        <v>1</v>
      </c>
    </row>
    <row r="29" spans="1:18" ht="15.75" thickBot="1" x14ac:dyDescent="0.3">
      <c r="A29" s="186">
        <f t="shared" si="0"/>
        <v>28</v>
      </c>
      <c r="B29" s="205" t="s">
        <v>174</v>
      </c>
      <c r="C29" s="71">
        <v>101.52</v>
      </c>
      <c r="D29" s="187">
        <v>76</v>
      </c>
      <c r="E29" s="71">
        <v>165</v>
      </c>
      <c r="F29" s="71">
        <v>63</v>
      </c>
      <c r="G29" s="83"/>
      <c r="H29" s="135"/>
      <c r="I29" s="135"/>
      <c r="J29" s="188"/>
      <c r="K29" s="211"/>
      <c r="M29" s="557" t="s">
        <v>334</v>
      </c>
      <c r="N29" s="559"/>
      <c r="O29" s="559"/>
      <c r="P29" s="559"/>
      <c r="Q29" s="559"/>
      <c r="R29" s="558"/>
    </row>
    <row r="30" spans="1:18" ht="15.75" thickBot="1" x14ac:dyDescent="0.3">
      <c r="A30" s="186">
        <f t="shared" si="0"/>
        <v>29</v>
      </c>
      <c r="B30" s="205" t="s">
        <v>175</v>
      </c>
      <c r="C30" s="71">
        <v>102.15</v>
      </c>
      <c r="D30" s="187">
        <v>82</v>
      </c>
      <c r="E30" s="71">
        <v>214</v>
      </c>
      <c r="F30" s="71">
        <v>61</v>
      </c>
      <c r="G30" s="83"/>
    </row>
    <row r="31" spans="1:18" ht="15.75" thickBot="1" x14ac:dyDescent="0.3">
      <c r="A31" s="186">
        <f t="shared" si="0"/>
        <v>30</v>
      </c>
      <c r="B31" s="205" t="s">
        <v>176</v>
      </c>
      <c r="C31" s="71">
        <v>101.8</v>
      </c>
      <c r="D31" s="187">
        <v>64</v>
      </c>
      <c r="E31" s="71">
        <v>216</v>
      </c>
      <c r="F31" s="71">
        <v>69</v>
      </c>
      <c r="G31" s="83"/>
      <c r="M31" s="557" t="s">
        <v>345</v>
      </c>
      <c r="N31" s="559"/>
      <c r="O31" s="559"/>
      <c r="P31" s="559"/>
      <c r="Q31" s="559"/>
      <c r="R31" s="558"/>
    </row>
    <row r="32" spans="1:18" ht="15.75" thickBot="1" x14ac:dyDescent="0.3">
      <c r="A32" s="186">
        <f t="shared" si="0"/>
        <v>31</v>
      </c>
      <c r="B32" s="205" t="s">
        <v>177</v>
      </c>
      <c r="C32" s="71">
        <v>101.75</v>
      </c>
      <c r="D32" s="187">
        <v>95</v>
      </c>
      <c r="E32" s="71">
        <v>171</v>
      </c>
      <c r="F32" s="71">
        <v>37</v>
      </c>
      <c r="G32" s="83"/>
      <c r="M32" s="190" t="s">
        <v>327</v>
      </c>
      <c r="N32" s="191" t="s">
        <v>328</v>
      </c>
      <c r="O32" s="191" t="s">
        <v>329</v>
      </c>
      <c r="P32" s="191" t="s">
        <v>330</v>
      </c>
      <c r="Q32" s="191" t="s">
        <v>331</v>
      </c>
      <c r="R32" s="192" t="s">
        <v>332</v>
      </c>
    </row>
    <row r="33" spans="1:24" ht="15.75" thickBot="1" x14ac:dyDescent="0.3">
      <c r="A33" s="186">
        <f t="shared" si="0"/>
        <v>32</v>
      </c>
      <c r="B33" s="205" t="s">
        <v>178</v>
      </c>
      <c r="C33" s="71">
        <v>101.4</v>
      </c>
      <c r="D33" s="187">
        <v>61</v>
      </c>
      <c r="E33" s="71">
        <v>160</v>
      </c>
      <c r="F33" s="71">
        <v>30</v>
      </c>
      <c r="G33" s="83"/>
      <c r="H33" s="557" t="s">
        <v>60</v>
      </c>
      <c r="I33" s="558"/>
      <c r="J33" s="219" t="s">
        <v>267</v>
      </c>
      <c r="K33" s="101">
        <f>I35-I34</f>
        <v>59</v>
      </c>
      <c r="M33" s="193">
        <v>1</v>
      </c>
      <c r="N33" s="194" t="s">
        <v>342</v>
      </c>
      <c r="O33" s="194">
        <f>I34</f>
        <v>21</v>
      </c>
      <c r="P33" s="194">
        <f>O33+$K$35</f>
        <v>32.799999999999997</v>
      </c>
      <c r="Q33" s="195">
        <f t="array" ref="Q33:Q37">FREQUENCY(F:F,P33:P37)</f>
        <v>16</v>
      </c>
      <c r="R33" s="196">
        <f>Q33/$Q$38</f>
        <v>0.15238095238095239</v>
      </c>
    </row>
    <row r="34" spans="1:24" x14ac:dyDescent="0.25">
      <c r="A34" s="186">
        <f t="shared" si="0"/>
        <v>33</v>
      </c>
      <c r="B34" s="205" t="s">
        <v>179</v>
      </c>
      <c r="C34" s="71">
        <v>103.53</v>
      </c>
      <c r="D34" s="187">
        <v>144</v>
      </c>
      <c r="E34" s="71">
        <v>251</v>
      </c>
      <c r="F34" s="71">
        <v>55</v>
      </c>
      <c r="G34" s="83"/>
      <c r="H34" s="220" t="s">
        <v>263</v>
      </c>
      <c r="I34" s="220">
        <f>MIN(F:F)</f>
        <v>21</v>
      </c>
      <c r="J34" s="101" t="s">
        <v>337</v>
      </c>
      <c r="K34" s="101">
        <v>5</v>
      </c>
      <c r="M34" s="193">
        <f>M33+1</f>
        <v>2</v>
      </c>
      <c r="N34" s="194" t="s">
        <v>340</v>
      </c>
      <c r="O34" s="194">
        <f>P33</f>
        <v>32.799999999999997</v>
      </c>
      <c r="P34" s="194">
        <f>O34+$K$35</f>
        <v>44.599999999999994</v>
      </c>
      <c r="Q34" s="195">
        <v>20</v>
      </c>
      <c r="R34" s="196">
        <f t="shared" ref="R34:R37" si="8">Q34/$Q$38</f>
        <v>0.19047619047619047</v>
      </c>
    </row>
    <row r="35" spans="1:24" x14ac:dyDescent="0.25">
      <c r="A35" s="186">
        <f t="shared" si="0"/>
        <v>34</v>
      </c>
      <c r="B35" s="205" t="s">
        <v>180</v>
      </c>
      <c r="C35" s="71">
        <v>103.77</v>
      </c>
      <c r="D35" s="187">
        <v>127</v>
      </c>
      <c r="E35" s="71">
        <v>169</v>
      </c>
      <c r="F35" s="71">
        <v>35</v>
      </c>
      <c r="G35" s="83"/>
      <c r="H35" s="98" t="s">
        <v>264</v>
      </c>
      <c r="I35" s="98">
        <f>MAX(F2:F109)</f>
        <v>80</v>
      </c>
      <c r="J35" s="101" t="s">
        <v>338</v>
      </c>
      <c r="K35" s="101">
        <f>K33/K34</f>
        <v>11.8</v>
      </c>
      <c r="M35" s="193">
        <f t="shared" ref="M35:M36" si="9">M34+1</f>
        <v>3</v>
      </c>
      <c r="N35" s="194" t="s">
        <v>339</v>
      </c>
      <c r="O35" s="194">
        <f t="shared" ref="O35:O37" si="10">P34</f>
        <v>44.599999999999994</v>
      </c>
      <c r="P35" s="194">
        <f>O35+$K$35</f>
        <v>56.399999999999991</v>
      </c>
      <c r="Q35" s="195">
        <v>26</v>
      </c>
      <c r="R35" s="196">
        <f t="shared" si="8"/>
        <v>0.24761904761904763</v>
      </c>
    </row>
    <row r="36" spans="1:24" x14ac:dyDescent="0.25">
      <c r="A36" s="186">
        <f t="shared" si="0"/>
        <v>35</v>
      </c>
      <c r="B36" s="205" t="s">
        <v>181</v>
      </c>
      <c r="C36" s="71">
        <v>102.93</v>
      </c>
      <c r="D36" s="187">
        <v>89</v>
      </c>
      <c r="E36" s="71">
        <v>243</v>
      </c>
      <c r="F36" s="71">
        <v>36</v>
      </c>
      <c r="G36" s="83"/>
      <c r="J36" s="101" t="s">
        <v>347</v>
      </c>
      <c r="K36" s="98">
        <f>_xlfn.MODE.MULT(F:F)</f>
        <v>54</v>
      </c>
      <c r="M36" s="193">
        <f t="shared" si="9"/>
        <v>4</v>
      </c>
      <c r="N36" s="194" t="s">
        <v>335</v>
      </c>
      <c r="O36" s="194">
        <f t="shared" si="10"/>
        <v>56.399999999999991</v>
      </c>
      <c r="P36" s="194">
        <f>O36+$K$35</f>
        <v>68.199999999999989</v>
      </c>
      <c r="Q36" s="195">
        <v>28</v>
      </c>
      <c r="R36" s="196">
        <f t="shared" si="8"/>
        <v>0.26666666666666666</v>
      </c>
    </row>
    <row r="37" spans="1:24" ht="15.75" thickBot="1" x14ac:dyDescent="0.3">
      <c r="A37" s="186">
        <f t="shared" si="0"/>
        <v>36</v>
      </c>
      <c r="B37" s="205" t="s">
        <v>182</v>
      </c>
      <c r="C37" s="71">
        <v>104.04</v>
      </c>
      <c r="D37" s="187">
        <v>126</v>
      </c>
      <c r="E37" s="71">
        <v>237</v>
      </c>
      <c r="F37" s="71">
        <v>22</v>
      </c>
      <c r="G37" s="83"/>
      <c r="J37" s="101" t="s">
        <v>348</v>
      </c>
      <c r="K37" s="209">
        <f>AVERAGE(F:F)</f>
        <v>52.018518518518519</v>
      </c>
      <c r="M37" s="193">
        <f>M36+1</f>
        <v>5</v>
      </c>
      <c r="N37" s="194" t="s">
        <v>336</v>
      </c>
      <c r="O37" s="194">
        <f t="shared" si="10"/>
        <v>68.199999999999989</v>
      </c>
      <c r="P37" s="194">
        <f>O37+$K$35</f>
        <v>79.999999999999986</v>
      </c>
      <c r="Q37" s="195">
        <v>15</v>
      </c>
      <c r="R37" s="196">
        <f t="shared" si="8"/>
        <v>0.14285714285714285</v>
      </c>
    </row>
    <row r="38" spans="1:24" ht="15.75" thickBot="1" x14ac:dyDescent="0.3">
      <c r="A38" s="186">
        <f t="shared" si="0"/>
        <v>37</v>
      </c>
      <c r="B38" s="205" t="s">
        <v>183</v>
      </c>
      <c r="C38" s="71">
        <v>103.03</v>
      </c>
      <c r="D38" s="187">
        <v>84</v>
      </c>
      <c r="E38" s="71">
        <v>184</v>
      </c>
      <c r="F38" s="71">
        <v>68</v>
      </c>
      <c r="G38" s="83"/>
      <c r="J38" s="101" t="s">
        <v>349</v>
      </c>
      <c r="K38" s="209">
        <f>MEDIAN(F:F)</f>
        <v>53.5</v>
      </c>
      <c r="M38" s="560" t="s">
        <v>333</v>
      </c>
      <c r="N38" s="561"/>
      <c r="O38" s="197"/>
      <c r="P38" s="197"/>
      <c r="Q38" s="198">
        <f>SUM(Q33:Q37)</f>
        <v>105</v>
      </c>
      <c r="R38" s="206">
        <f>SUM(R33:R37)</f>
        <v>1</v>
      </c>
    </row>
    <row r="39" spans="1:24" ht="15.75" thickBot="1" x14ac:dyDescent="0.3">
      <c r="A39" s="186">
        <f t="shared" si="0"/>
        <v>38</v>
      </c>
      <c r="B39" s="205" t="s">
        <v>184</v>
      </c>
      <c r="C39" s="71">
        <v>103.5</v>
      </c>
      <c r="D39" s="187">
        <v>56</v>
      </c>
      <c r="E39" s="71">
        <v>222</v>
      </c>
      <c r="F39" s="71">
        <v>67</v>
      </c>
      <c r="G39" s="83"/>
      <c r="J39" s="188"/>
      <c r="M39" s="557" t="s">
        <v>334</v>
      </c>
      <c r="N39" s="559"/>
      <c r="O39" s="559"/>
      <c r="P39" s="559"/>
      <c r="Q39" s="559"/>
      <c r="R39" s="558"/>
    </row>
    <row r="40" spans="1:24" x14ac:dyDescent="0.25">
      <c r="A40" s="186">
        <f t="shared" si="0"/>
        <v>39</v>
      </c>
      <c r="B40" s="205" t="s">
        <v>185</v>
      </c>
      <c r="C40" s="71">
        <v>101.73</v>
      </c>
      <c r="D40" s="187">
        <v>149</v>
      </c>
      <c r="E40" s="71">
        <v>162</v>
      </c>
      <c r="F40" s="71">
        <v>53</v>
      </c>
      <c r="G40" s="83"/>
    </row>
    <row r="41" spans="1:24" x14ac:dyDescent="0.25">
      <c r="A41" s="186">
        <f t="shared" si="0"/>
        <v>40</v>
      </c>
      <c r="B41" s="205" t="s">
        <v>186</v>
      </c>
      <c r="C41" s="71">
        <v>100.63</v>
      </c>
      <c r="D41" s="187">
        <v>149</v>
      </c>
      <c r="E41" s="71">
        <v>187</v>
      </c>
      <c r="F41" s="71">
        <v>52</v>
      </c>
      <c r="G41" s="83"/>
    </row>
    <row r="42" spans="1:24" x14ac:dyDescent="0.25">
      <c r="A42" s="186">
        <f t="shared" si="0"/>
        <v>41</v>
      </c>
      <c r="B42" s="205" t="s">
        <v>187</v>
      </c>
      <c r="C42" s="71">
        <v>101.08</v>
      </c>
      <c r="D42" s="187">
        <v>88</v>
      </c>
      <c r="E42" s="71">
        <v>206</v>
      </c>
      <c r="F42" s="71">
        <v>76</v>
      </c>
      <c r="G42" s="83"/>
      <c r="S42" s="214" t="s">
        <v>351</v>
      </c>
      <c r="T42" s="215" t="s">
        <v>403</v>
      </c>
      <c r="U42" s="215" t="s">
        <v>404</v>
      </c>
      <c r="V42" s="215" t="s">
        <v>405</v>
      </c>
      <c r="W42" s="215" t="s">
        <v>406</v>
      </c>
      <c r="X42" s="215" t="s">
        <v>407</v>
      </c>
    </row>
    <row r="43" spans="1:24" x14ac:dyDescent="0.25">
      <c r="A43" s="186">
        <f t="shared" si="0"/>
        <v>42</v>
      </c>
      <c r="B43" s="205" t="s">
        <v>188</v>
      </c>
      <c r="C43" s="71">
        <v>102.08</v>
      </c>
      <c r="D43" s="187">
        <v>128</v>
      </c>
      <c r="E43" s="71">
        <v>189</v>
      </c>
      <c r="F43" s="71">
        <v>63</v>
      </c>
      <c r="G43" s="83"/>
      <c r="S43" s="215" t="s">
        <v>342</v>
      </c>
      <c r="T43" s="274">
        <v>0.3364485981308411</v>
      </c>
      <c r="U43" s="274">
        <v>0.17592592592592593</v>
      </c>
      <c r="V43" s="274">
        <v>0.17592592592592593</v>
      </c>
      <c r="W43" s="274">
        <v>0.15238095238095239</v>
      </c>
      <c r="X43" s="274">
        <v>0.13</v>
      </c>
    </row>
    <row r="44" spans="1:24" x14ac:dyDescent="0.25">
      <c r="A44" s="186">
        <f t="shared" si="0"/>
        <v>43</v>
      </c>
      <c r="B44" s="205" t="s">
        <v>189</v>
      </c>
      <c r="C44" s="71">
        <v>102.51</v>
      </c>
      <c r="D44" s="187">
        <v>126</v>
      </c>
      <c r="E44" s="71">
        <v>270</v>
      </c>
      <c r="F44" s="71">
        <v>41</v>
      </c>
      <c r="G44" s="83"/>
      <c r="S44" s="215" t="s">
        <v>340</v>
      </c>
      <c r="T44" s="274">
        <v>0.24299065420560748</v>
      </c>
      <c r="U44" s="274">
        <v>0.21296296296296297</v>
      </c>
      <c r="V44" s="274">
        <v>0.19444444444444445</v>
      </c>
      <c r="W44" s="274">
        <v>0.19047619047619047</v>
      </c>
      <c r="X44" s="274">
        <v>0.10333333333333333</v>
      </c>
    </row>
    <row r="45" spans="1:24" x14ac:dyDescent="0.25">
      <c r="A45" s="186">
        <f t="shared" si="0"/>
        <v>44</v>
      </c>
      <c r="B45" s="205" t="s">
        <v>190</v>
      </c>
      <c r="C45" s="71">
        <v>102.65</v>
      </c>
      <c r="D45" s="187">
        <v>83</v>
      </c>
      <c r="E45" s="71">
        <v>247</v>
      </c>
      <c r="F45" s="71">
        <v>31</v>
      </c>
      <c r="G45" s="83"/>
      <c r="S45" s="215" t="s">
        <v>339</v>
      </c>
      <c r="T45" s="274">
        <v>9.3457943925233641E-2</v>
      </c>
      <c r="U45" s="274">
        <v>0.14814814814814814</v>
      </c>
      <c r="V45" s="274">
        <v>0.28703703703703703</v>
      </c>
      <c r="W45" s="274">
        <v>0.24761904761904763</v>
      </c>
      <c r="X45" s="274">
        <v>0.06</v>
      </c>
    </row>
    <row r="46" spans="1:24" x14ac:dyDescent="0.25">
      <c r="A46" s="186">
        <f t="shared" si="0"/>
        <v>45</v>
      </c>
      <c r="B46" s="205" t="s">
        <v>191</v>
      </c>
      <c r="C46" s="71">
        <v>102.6</v>
      </c>
      <c r="D46" s="187">
        <v>119</v>
      </c>
      <c r="E46" s="71">
        <v>178</v>
      </c>
      <c r="F46" s="71">
        <v>59</v>
      </c>
      <c r="G46" s="83"/>
      <c r="S46" s="215" t="s">
        <v>335</v>
      </c>
      <c r="T46" s="274">
        <v>0.15887850467289719</v>
      </c>
      <c r="U46" s="274">
        <v>0.17592592592592593</v>
      </c>
      <c r="V46" s="274">
        <v>0.12962962962962962</v>
      </c>
      <c r="W46" s="274">
        <v>0.26666666666666666</v>
      </c>
      <c r="X46" s="274">
        <v>0.21</v>
      </c>
    </row>
    <row r="47" spans="1:24" x14ac:dyDescent="0.25">
      <c r="A47" s="186">
        <f t="shared" si="0"/>
        <v>46</v>
      </c>
      <c r="B47" s="205" t="s">
        <v>192</v>
      </c>
      <c r="C47" s="71">
        <v>101.34</v>
      </c>
      <c r="D47" s="187">
        <v>140</v>
      </c>
      <c r="E47" s="71">
        <v>285</v>
      </c>
      <c r="F47" s="71">
        <v>32</v>
      </c>
      <c r="G47" s="83"/>
      <c r="S47" s="215" t="s">
        <v>336</v>
      </c>
      <c r="T47" s="274">
        <v>0.16822429906542055</v>
      </c>
      <c r="U47" s="274">
        <v>0.28703703703703703</v>
      </c>
      <c r="V47" s="274">
        <v>0.21296296296296297</v>
      </c>
      <c r="W47" s="274">
        <v>0.14285714285714285</v>
      </c>
      <c r="X47" s="274">
        <v>0.19</v>
      </c>
    </row>
    <row r="48" spans="1:24" x14ac:dyDescent="0.25">
      <c r="A48" s="186">
        <f t="shared" si="0"/>
        <v>47</v>
      </c>
      <c r="B48" s="205" t="s">
        <v>193</v>
      </c>
      <c r="C48" s="71">
        <v>100.86</v>
      </c>
      <c r="D48" s="187">
        <v>64</v>
      </c>
      <c r="E48" s="71">
        <v>178</v>
      </c>
      <c r="F48" s="71">
        <v>61</v>
      </c>
      <c r="G48" s="83"/>
    </row>
    <row r="49" spans="1:30" x14ac:dyDescent="0.25">
      <c r="A49" s="186">
        <f t="shared" si="0"/>
        <v>48</v>
      </c>
      <c r="B49" s="205" t="s">
        <v>194</v>
      </c>
      <c r="C49" s="71">
        <v>100.65</v>
      </c>
      <c r="D49" s="187">
        <v>52</v>
      </c>
      <c r="E49" s="71">
        <v>195</v>
      </c>
      <c r="F49" s="71">
        <v>64</v>
      </c>
      <c r="G49" s="83"/>
    </row>
    <row r="50" spans="1:30" x14ac:dyDescent="0.25">
      <c r="A50" s="186">
        <f t="shared" si="0"/>
        <v>49</v>
      </c>
      <c r="B50" s="205" t="s">
        <v>195</v>
      </c>
      <c r="C50" s="71">
        <v>101.96</v>
      </c>
      <c r="D50" s="187">
        <v>147</v>
      </c>
      <c r="E50" s="71">
        <v>153</v>
      </c>
      <c r="F50" s="71">
        <v>66</v>
      </c>
      <c r="G50" s="83"/>
    </row>
    <row r="51" spans="1:30" x14ac:dyDescent="0.25">
      <c r="A51" s="186">
        <f t="shared" si="0"/>
        <v>50</v>
      </c>
      <c r="B51" s="205" t="s">
        <v>196</v>
      </c>
      <c r="C51" s="71">
        <v>102.57</v>
      </c>
      <c r="D51" s="187">
        <v>67</v>
      </c>
      <c r="E51" s="71">
        <v>227</v>
      </c>
      <c r="F51" s="71">
        <v>36</v>
      </c>
      <c r="G51" s="83"/>
    </row>
    <row r="52" spans="1:30" x14ac:dyDescent="0.25">
      <c r="A52" s="186">
        <f t="shared" si="0"/>
        <v>51</v>
      </c>
      <c r="B52" s="205" t="s">
        <v>197</v>
      </c>
      <c r="C52" s="71">
        <v>101.02</v>
      </c>
      <c r="D52" s="187">
        <v>85</v>
      </c>
      <c r="E52" s="71">
        <v>299</v>
      </c>
      <c r="F52" s="71">
        <v>35</v>
      </c>
      <c r="G52" s="83"/>
    </row>
    <row r="53" spans="1:30" ht="15.75" customHeight="1" x14ac:dyDescent="0.25">
      <c r="A53" s="186">
        <f t="shared" si="0"/>
        <v>52</v>
      </c>
      <c r="B53" s="205" t="s">
        <v>198</v>
      </c>
      <c r="C53" s="71">
        <v>101.6</v>
      </c>
      <c r="D53" s="187">
        <v>148</v>
      </c>
      <c r="E53" s="71">
        <v>193</v>
      </c>
      <c r="F53" s="71">
        <v>70</v>
      </c>
      <c r="G53" s="83"/>
      <c r="Y53" s="564" t="s">
        <v>359</v>
      </c>
      <c r="Z53" s="564"/>
      <c r="AA53" s="564"/>
      <c r="AB53" s="564"/>
      <c r="AC53" s="564"/>
      <c r="AD53" s="564"/>
    </row>
    <row r="54" spans="1:30" x14ac:dyDescent="0.25">
      <c r="A54" s="186">
        <f t="shared" si="0"/>
        <v>53</v>
      </c>
      <c r="B54" s="205" t="s">
        <v>199</v>
      </c>
      <c r="C54" s="71">
        <v>101.46</v>
      </c>
      <c r="D54" s="187">
        <v>91</v>
      </c>
      <c r="E54" s="71">
        <v>280</v>
      </c>
      <c r="F54" s="71">
        <v>74</v>
      </c>
      <c r="G54" s="83"/>
      <c r="Y54" s="564"/>
      <c r="Z54" s="564"/>
      <c r="AA54" s="564"/>
      <c r="AB54" s="564"/>
      <c r="AC54" s="564"/>
      <c r="AD54" s="564"/>
    </row>
    <row r="55" spans="1:30" x14ac:dyDescent="0.25">
      <c r="A55" s="186">
        <f t="shared" si="0"/>
        <v>54</v>
      </c>
      <c r="B55" s="205" t="s">
        <v>200</v>
      </c>
      <c r="C55" s="71">
        <v>101.03</v>
      </c>
      <c r="D55" s="187">
        <v>137</v>
      </c>
      <c r="E55" s="71">
        <v>224</v>
      </c>
      <c r="F55" s="71">
        <v>71</v>
      </c>
      <c r="G55" s="83"/>
      <c r="Y55" s="564"/>
      <c r="Z55" s="564"/>
      <c r="AA55" s="564"/>
      <c r="AB55" s="564"/>
      <c r="AC55" s="564"/>
      <c r="AD55" s="564"/>
    </row>
    <row r="56" spans="1:30" x14ac:dyDescent="0.25">
      <c r="A56" s="186">
        <f t="shared" si="0"/>
        <v>55</v>
      </c>
      <c r="B56" s="205" t="s">
        <v>201</v>
      </c>
      <c r="C56" s="71">
        <v>101.9</v>
      </c>
      <c r="D56" s="187">
        <v>90</v>
      </c>
      <c r="E56" s="71">
        <v>282</v>
      </c>
      <c r="F56" s="71">
        <v>67</v>
      </c>
      <c r="G56" s="83"/>
      <c r="Y56" s="226" t="s">
        <v>45</v>
      </c>
      <c r="Z56" s="562" t="s">
        <v>353</v>
      </c>
      <c r="AA56" s="563"/>
      <c r="AB56" s="222" t="s">
        <v>262</v>
      </c>
      <c r="AC56" s="222" t="s">
        <v>358</v>
      </c>
      <c r="AD56" s="223" t="s">
        <v>354</v>
      </c>
    </row>
    <row r="57" spans="1:30" x14ac:dyDescent="0.25">
      <c r="A57" s="186">
        <f t="shared" si="0"/>
        <v>56</v>
      </c>
      <c r="B57" s="205" t="s">
        <v>202</v>
      </c>
      <c r="C57" s="71">
        <v>103.2</v>
      </c>
      <c r="D57" s="187">
        <v>131</v>
      </c>
      <c r="E57" s="71">
        <v>197</v>
      </c>
      <c r="F57" s="71">
        <v>23</v>
      </c>
      <c r="G57" s="83"/>
      <c r="Y57" s="232">
        <v>2016</v>
      </c>
      <c r="Z57" s="233">
        <v>0.13</v>
      </c>
      <c r="AA57" s="233"/>
      <c r="AB57" s="222">
        <v>2016</v>
      </c>
      <c r="AC57" s="223">
        <f>Z57</f>
        <v>0.13</v>
      </c>
      <c r="AD57" s="223">
        <v>0.3364485981308411</v>
      </c>
    </row>
    <row r="58" spans="1:30" x14ac:dyDescent="0.25">
      <c r="A58" s="186">
        <f t="shared" si="0"/>
        <v>57</v>
      </c>
      <c r="B58" s="205" t="s">
        <v>203</v>
      </c>
      <c r="C58" s="71">
        <v>104.42</v>
      </c>
      <c r="D58" s="187">
        <v>110</v>
      </c>
      <c r="E58" s="71">
        <v>241</v>
      </c>
      <c r="F58" s="71">
        <v>58</v>
      </c>
      <c r="G58" s="83"/>
      <c r="Y58" s="234">
        <v>2017</v>
      </c>
      <c r="Z58" s="235">
        <v>0.11</v>
      </c>
      <c r="AA58" s="233"/>
      <c r="AB58" s="222">
        <v>2018</v>
      </c>
      <c r="AC58" s="223">
        <f>AA59</f>
        <v>0.10333333333333333</v>
      </c>
      <c r="AD58" s="223">
        <v>0.24299065420560748</v>
      </c>
    </row>
    <row r="59" spans="1:30" x14ac:dyDescent="0.25">
      <c r="A59" s="186">
        <f t="shared" si="0"/>
        <v>58</v>
      </c>
      <c r="B59" s="205" t="s">
        <v>204</v>
      </c>
      <c r="C59" s="71">
        <v>103.81</v>
      </c>
      <c r="D59" s="187">
        <v>131</v>
      </c>
      <c r="E59" s="71">
        <v>264</v>
      </c>
      <c r="F59" s="71">
        <v>49</v>
      </c>
      <c r="G59" s="83"/>
      <c r="Y59" s="234">
        <v>2018</v>
      </c>
      <c r="Z59" s="235">
        <v>0.12</v>
      </c>
      <c r="AA59" s="236">
        <f>AVERAGE(Z58:Z60)</f>
        <v>0.10333333333333333</v>
      </c>
      <c r="AB59" s="222">
        <v>2020</v>
      </c>
      <c r="AC59" s="223">
        <f>Z61</f>
        <v>0.06</v>
      </c>
      <c r="AD59" s="223">
        <v>9.3457943925233641E-2</v>
      </c>
    </row>
    <row r="60" spans="1:30" x14ac:dyDescent="0.25">
      <c r="A60" s="186">
        <f t="shared" si="0"/>
        <v>59</v>
      </c>
      <c r="B60" s="205" t="s">
        <v>205</v>
      </c>
      <c r="C60" s="71">
        <v>103.75</v>
      </c>
      <c r="D60" s="187">
        <v>146</v>
      </c>
      <c r="E60" s="71">
        <v>260</v>
      </c>
      <c r="F60" s="71">
        <v>27</v>
      </c>
      <c r="G60" s="83"/>
      <c r="Y60" s="234">
        <v>2019</v>
      </c>
      <c r="Z60" s="235">
        <v>0.08</v>
      </c>
      <c r="AA60" s="233"/>
      <c r="AB60" s="222">
        <v>2022</v>
      </c>
      <c r="AC60" s="223">
        <f>AA63</f>
        <v>0.21</v>
      </c>
      <c r="AD60" s="223">
        <v>0.15887850467289719</v>
      </c>
    </row>
    <row r="61" spans="1:30" x14ac:dyDescent="0.25">
      <c r="A61" s="186">
        <f t="shared" si="0"/>
        <v>60</v>
      </c>
      <c r="B61" s="205" t="s">
        <v>206</v>
      </c>
      <c r="C61" s="71">
        <v>104.35</v>
      </c>
      <c r="D61" s="187">
        <v>52</v>
      </c>
      <c r="E61" s="71">
        <v>272</v>
      </c>
      <c r="F61" s="71">
        <v>54</v>
      </c>
      <c r="G61" s="83"/>
      <c r="Y61" s="232">
        <v>2020</v>
      </c>
      <c r="Z61" s="233">
        <v>0.06</v>
      </c>
      <c r="AA61" s="233"/>
      <c r="AB61" s="222">
        <v>2024</v>
      </c>
      <c r="AC61" s="223">
        <f>Z65</f>
        <v>0.19</v>
      </c>
      <c r="AD61" s="223">
        <v>0.16822429906542055</v>
      </c>
    </row>
    <row r="62" spans="1:30" x14ac:dyDescent="0.25">
      <c r="A62" s="186">
        <f t="shared" si="0"/>
        <v>61</v>
      </c>
      <c r="B62" s="205" t="s">
        <v>207</v>
      </c>
      <c r="C62" s="71">
        <v>105.63</v>
      </c>
      <c r="D62" s="187">
        <v>54</v>
      </c>
      <c r="E62" s="71">
        <v>209</v>
      </c>
      <c r="F62" s="71">
        <v>30</v>
      </c>
      <c r="G62" s="83"/>
      <c r="Y62" s="234">
        <v>2021</v>
      </c>
      <c r="Z62" s="235">
        <v>0.19</v>
      </c>
      <c r="AA62" s="233"/>
      <c r="AB62" s="224"/>
      <c r="AC62" s="230"/>
      <c r="AD62" s="230"/>
    </row>
    <row r="63" spans="1:30" x14ac:dyDescent="0.25">
      <c r="A63" s="186">
        <f t="shared" si="0"/>
        <v>62</v>
      </c>
      <c r="B63" s="205" t="s">
        <v>208</v>
      </c>
      <c r="C63" s="71">
        <v>105.39</v>
      </c>
      <c r="D63" s="187">
        <v>138</v>
      </c>
      <c r="E63" s="71">
        <v>288</v>
      </c>
      <c r="F63" s="71">
        <v>51</v>
      </c>
      <c r="G63" s="83"/>
      <c r="Y63" s="234">
        <v>2022</v>
      </c>
      <c r="Z63" s="235">
        <v>0.21</v>
      </c>
      <c r="AA63" s="236">
        <f>AVERAGE(Z62:Z64)</f>
        <v>0.21</v>
      </c>
      <c r="AB63" s="222" t="s">
        <v>262</v>
      </c>
      <c r="AC63" s="229" t="s">
        <v>358</v>
      </c>
      <c r="AD63" s="229" t="s">
        <v>355</v>
      </c>
    </row>
    <row r="64" spans="1:30" x14ac:dyDescent="0.25">
      <c r="A64" s="186">
        <f t="shared" si="0"/>
        <v>63</v>
      </c>
      <c r="B64" s="205" t="s">
        <v>209</v>
      </c>
      <c r="C64" s="71">
        <v>105.45</v>
      </c>
      <c r="D64" s="187">
        <v>138</v>
      </c>
      <c r="E64" s="71">
        <v>162</v>
      </c>
      <c r="F64" s="71">
        <v>43</v>
      </c>
      <c r="G64" s="83"/>
      <c r="Y64" s="234">
        <v>2023</v>
      </c>
      <c r="Z64" s="235">
        <v>0.23</v>
      </c>
      <c r="AA64" s="233"/>
      <c r="AB64" s="222">
        <v>2016</v>
      </c>
      <c r="AC64" s="223">
        <v>0.13</v>
      </c>
      <c r="AD64" s="223">
        <v>0.17592592592592593</v>
      </c>
    </row>
    <row r="65" spans="1:30" x14ac:dyDescent="0.25">
      <c r="A65" s="186">
        <f t="shared" si="0"/>
        <v>64</v>
      </c>
      <c r="B65" s="205" t="s">
        <v>210</v>
      </c>
      <c r="C65" s="71">
        <v>104.55</v>
      </c>
      <c r="D65" s="187">
        <v>132</v>
      </c>
      <c r="E65" s="71">
        <v>161</v>
      </c>
      <c r="F65" s="71">
        <v>50</v>
      </c>
      <c r="G65" s="83"/>
      <c r="Y65" s="232">
        <v>2024</v>
      </c>
      <c r="Z65" s="233">
        <v>0.19</v>
      </c>
      <c r="AA65" s="237"/>
      <c r="AB65" s="222">
        <v>2018</v>
      </c>
      <c r="AC65" s="223">
        <v>0.10333333333333333</v>
      </c>
      <c r="AD65" s="223">
        <v>0.21296296296296297</v>
      </c>
    </row>
    <row r="66" spans="1:30" x14ac:dyDescent="0.25">
      <c r="A66" s="186">
        <f t="shared" si="0"/>
        <v>65</v>
      </c>
      <c r="B66" s="205" t="s">
        <v>211</v>
      </c>
      <c r="C66" s="71">
        <v>103.56</v>
      </c>
      <c r="D66" s="187">
        <v>78</v>
      </c>
      <c r="E66" s="71">
        <v>230</v>
      </c>
      <c r="F66" s="71">
        <v>60</v>
      </c>
      <c r="G66" s="83"/>
      <c r="AB66" s="222">
        <v>2020</v>
      </c>
      <c r="AC66" s="223">
        <v>0.06</v>
      </c>
      <c r="AD66" s="223">
        <v>0.14814814814814814</v>
      </c>
    </row>
    <row r="67" spans="1:30" x14ac:dyDescent="0.25">
      <c r="A67" s="186">
        <f t="shared" si="0"/>
        <v>66</v>
      </c>
      <c r="B67" s="205" t="s">
        <v>212</v>
      </c>
      <c r="C67" s="71">
        <v>104.66</v>
      </c>
      <c r="D67" s="187">
        <v>147</v>
      </c>
      <c r="E67" s="71">
        <v>204</v>
      </c>
      <c r="F67" s="71">
        <v>26</v>
      </c>
      <c r="G67" s="83"/>
      <c r="AB67" s="222">
        <v>2022</v>
      </c>
      <c r="AC67" s="223">
        <v>0.21</v>
      </c>
      <c r="AD67" s="223">
        <v>0.17592592592592593</v>
      </c>
    </row>
    <row r="68" spans="1:30" x14ac:dyDescent="0.25">
      <c r="A68" s="186">
        <f t="shared" ref="A68:A131" si="11">A67+1</f>
        <v>67</v>
      </c>
      <c r="B68" s="205" t="s">
        <v>213</v>
      </c>
      <c r="C68" s="71">
        <v>106.34</v>
      </c>
      <c r="D68" s="187">
        <v>138</v>
      </c>
      <c r="E68" s="71">
        <v>230</v>
      </c>
      <c r="F68" s="71">
        <v>42</v>
      </c>
      <c r="G68" s="83"/>
      <c r="AB68" s="222">
        <v>2024</v>
      </c>
      <c r="AC68" s="223">
        <v>0.19</v>
      </c>
      <c r="AD68" s="223">
        <v>0.28703703703703703</v>
      </c>
    </row>
    <row r="69" spans="1:30" x14ac:dyDescent="0.25">
      <c r="A69" s="186">
        <f t="shared" si="11"/>
        <v>68</v>
      </c>
      <c r="B69" s="205" t="s">
        <v>214</v>
      </c>
      <c r="C69" s="71">
        <v>106.53</v>
      </c>
      <c r="D69" s="187">
        <v>106</v>
      </c>
      <c r="E69" s="71">
        <v>216</v>
      </c>
      <c r="F69" s="71">
        <v>53</v>
      </c>
      <c r="G69" s="83"/>
      <c r="AB69" s="225"/>
      <c r="AC69" s="231"/>
      <c r="AD69" s="231"/>
    </row>
    <row r="70" spans="1:30" x14ac:dyDescent="0.25">
      <c r="A70" s="186">
        <f t="shared" si="11"/>
        <v>69</v>
      </c>
      <c r="B70" s="205" t="s">
        <v>215</v>
      </c>
      <c r="C70" s="71">
        <v>107.87</v>
      </c>
      <c r="D70" s="187">
        <v>143</v>
      </c>
      <c r="E70" s="71">
        <v>238</v>
      </c>
      <c r="F70" s="71">
        <v>35</v>
      </c>
      <c r="G70" s="83"/>
      <c r="AB70" s="222" t="s">
        <v>262</v>
      </c>
      <c r="AC70" s="229" t="s">
        <v>358</v>
      </c>
      <c r="AD70" s="229" t="s">
        <v>356</v>
      </c>
    </row>
    <row r="71" spans="1:30" x14ac:dyDescent="0.25">
      <c r="A71" s="186">
        <f t="shared" si="11"/>
        <v>70</v>
      </c>
      <c r="B71" s="205" t="s">
        <v>216</v>
      </c>
      <c r="C71" s="71">
        <v>108.53</v>
      </c>
      <c r="D71" s="187">
        <v>149</v>
      </c>
      <c r="E71" s="71">
        <v>219</v>
      </c>
      <c r="F71" s="71">
        <v>80</v>
      </c>
      <c r="G71" s="83"/>
      <c r="AB71" s="222">
        <v>2016</v>
      </c>
      <c r="AC71" s="223">
        <v>0.13</v>
      </c>
      <c r="AD71" s="223">
        <v>0.17592592592592593</v>
      </c>
    </row>
    <row r="72" spans="1:30" x14ac:dyDescent="0.25">
      <c r="A72" s="186">
        <f t="shared" si="11"/>
        <v>71</v>
      </c>
      <c r="B72" s="205" t="s">
        <v>217</v>
      </c>
      <c r="C72" s="71">
        <v>108.1</v>
      </c>
      <c r="D72" s="187">
        <v>92</v>
      </c>
      <c r="E72" s="71">
        <v>182</v>
      </c>
      <c r="F72" s="71">
        <v>50</v>
      </c>
      <c r="G72" s="83"/>
      <c r="AB72" s="222">
        <v>2018</v>
      </c>
      <c r="AC72" s="223">
        <v>0.10333333333333333</v>
      </c>
      <c r="AD72" s="223">
        <v>0.19444444444444445</v>
      </c>
    </row>
    <row r="73" spans="1:30" x14ac:dyDescent="0.25">
      <c r="A73" s="186">
        <f t="shared" si="11"/>
        <v>72</v>
      </c>
      <c r="B73" s="205" t="s">
        <v>218</v>
      </c>
      <c r="C73" s="71">
        <v>108.76</v>
      </c>
      <c r="D73" s="187">
        <v>71</v>
      </c>
      <c r="E73" s="71">
        <v>172</v>
      </c>
      <c r="F73" s="71">
        <v>40</v>
      </c>
      <c r="G73" s="83"/>
      <c r="AB73" s="222">
        <v>2020</v>
      </c>
      <c r="AC73" s="223">
        <v>0.06</v>
      </c>
      <c r="AD73" s="223">
        <v>0.28703703703703703</v>
      </c>
    </row>
    <row r="74" spans="1:30" x14ac:dyDescent="0.25">
      <c r="A74" s="186">
        <f t="shared" si="11"/>
        <v>73</v>
      </c>
      <c r="B74" s="205" t="s">
        <v>219</v>
      </c>
      <c r="C74" s="71">
        <v>110.7</v>
      </c>
      <c r="D74" s="187">
        <v>121</v>
      </c>
      <c r="E74" s="71">
        <v>184</v>
      </c>
      <c r="F74" s="71">
        <v>25</v>
      </c>
      <c r="G74" s="83"/>
      <c r="AB74" s="222">
        <v>2022</v>
      </c>
      <c r="AC74" s="223">
        <v>0.21</v>
      </c>
      <c r="AD74" s="223">
        <v>0.12962962962962962</v>
      </c>
    </row>
    <row r="75" spans="1:30" x14ac:dyDescent="0.25">
      <c r="A75" s="186">
        <f t="shared" si="11"/>
        <v>74</v>
      </c>
      <c r="B75" s="205" t="s">
        <v>220</v>
      </c>
      <c r="C75" s="71">
        <v>110.94</v>
      </c>
      <c r="D75" s="187">
        <v>72</v>
      </c>
      <c r="E75" s="71">
        <v>185</v>
      </c>
      <c r="F75" s="71">
        <v>77</v>
      </c>
      <c r="G75" s="83"/>
      <c r="AB75" s="222">
        <v>2024</v>
      </c>
      <c r="AC75" s="223">
        <v>0.19</v>
      </c>
      <c r="AD75" s="223">
        <v>0.21296296296296297</v>
      </c>
    </row>
    <row r="76" spans="1:30" x14ac:dyDescent="0.25">
      <c r="A76" s="186">
        <f t="shared" si="11"/>
        <v>75</v>
      </c>
      <c r="B76" s="205" t="s">
        <v>221</v>
      </c>
      <c r="C76" s="71">
        <v>112.95</v>
      </c>
      <c r="D76" s="187">
        <v>81</v>
      </c>
      <c r="E76" s="71">
        <v>214</v>
      </c>
      <c r="F76" s="71">
        <v>54</v>
      </c>
      <c r="G76" s="83"/>
      <c r="AB76" s="225"/>
      <c r="AC76" s="231"/>
      <c r="AD76" s="231"/>
    </row>
    <row r="77" spans="1:30" x14ac:dyDescent="0.25">
      <c r="A77" s="186">
        <f t="shared" si="11"/>
        <v>76</v>
      </c>
      <c r="B77" s="205" t="s">
        <v>222</v>
      </c>
      <c r="C77" s="71">
        <v>110.28</v>
      </c>
      <c r="D77" s="187">
        <v>79</v>
      </c>
      <c r="E77" s="71">
        <v>154</v>
      </c>
      <c r="F77" s="71">
        <v>53</v>
      </c>
      <c r="G77" s="83"/>
      <c r="AB77" s="222" t="s">
        <v>262</v>
      </c>
      <c r="AC77" s="229" t="s">
        <v>358</v>
      </c>
      <c r="AD77" s="229" t="s">
        <v>357</v>
      </c>
    </row>
    <row r="78" spans="1:30" x14ac:dyDescent="0.25">
      <c r="A78" s="186">
        <f t="shared" si="11"/>
        <v>77</v>
      </c>
      <c r="B78" s="205" t="s">
        <v>223</v>
      </c>
      <c r="C78" s="71">
        <v>111.46</v>
      </c>
      <c r="D78" s="187">
        <v>94</v>
      </c>
      <c r="E78" s="71">
        <v>281</v>
      </c>
      <c r="F78" s="71">
        <v>58</v>
      </c>
      <c r="G78" s="83"/>
      <c r="AB78" s="222">
        <v>2016</v>
      </c>
      <c r="AC78" s="223">
        <v>0.13</v>
      </c>
      <c r="AD78" s="223">
        <v>0.15238095238095239</v>
      </c>
    </row>
    <row r="79" spans="1:30" x14ac:dyDescent="0.25">
      <c r="A79" s="186">
        <f t="shared" si="11"/>
        <v>78</v>
      </c>
      <c r="B79" s="205" t="s">
        <v>224</v>
      </c>
      <c r="C79" s="71">
        <v>111.84</v>
      </c>
      <c r="D79" s="187">
        <v>71</v>
      </c>
      <c r="E79" s="71">
        <v>245</v>
      </c>
      <c r="F79" s="71">
        <v>66</v>
      </c>
      <c r="G79" s="83"/>
      <c r="AB79" s="222">
        <v>2018</v>
      </c>
      <c r="AC79" s="223">
        <v>0.10333333333333333</v>
      </c>
      <c r="AD79" s="223">
        <v>0.19047619047619047</v>
      </c>
    </row>
    <row r="80" spans="1:30" x14ac:dyDescent="0.25">
      <c r="A80" s="186">
        <f t="shared" si="11"/>
        <v>79</v>
      </c>
      <c r="B80" s="205" t="s">
        <v>225</v>
      </c>
      <c r="C80" s="71">
        <v>111.78</v>
      </c>
      <c r="D80" s="187">
        <v>68</v>
      </c>
      <c r="E80" s="71">
        <v>214</v>
      </c>
      <c r="F80" s="71">
        <v>58</v>
      </c>
      <c r="G80" s="83"/>
      <c r="AB80" s="222">
        <v>2020</v>
      </c>
      <c r="AC80" s="223">
        <v>0.06</v>
      </c>
      <c r="AD80" s="223">
        <v>0.24761904761904763</v>
      </c>
    </row>
    <row r="81" spans="1:30" x14ac:dyDescent="0.25">
      <c r="A81" s="186">
        <f t="shared" si="11"/>
        <v>80</v>
      </c>
      <c r="B81" s="205" t="s">
        <v>226</v>
      </c>
      <c r="C81" s="71">
        <v>112.16</v>
      </c>
      <c r="D81" s="187">
        <v>112</v>
      </c>
      <c r="E81" s="71">
        <v>277</v>
      </c>
      <c r="F81" s="71">
        <v>76</v>
      </c>
      <c r="G81" s="83"/>
      <c r="AB81" s="222">
        <v>2022</v>
      </c>
      <c r="AC81" s="223">
        <v>0.21</v>
      </c>
      <c r="AD81" s="223">
        <v>0.26666666666666666</v>
      </c>
    </row>
    <row r="82" spans="1:30" x14ac:dyDescent="0.25">
      <c r="A82" s="186">
        <f t="shared" si="11"/>
        <v>81</v>
      </c>
      <c r="B82" s="205" t="s">
        <v>227</v>
      </c>
      <c r="C82" s="71">
        <v>110.21</v>
      </c>
      <c r="D82" s="187">
        <v>98</v>
      </c>
      <c r="E82" s="71">
        <v>295</v>
      </c>
      <c r="F82" s="71">
        <v>60</v>
      </c>
      <c r="G82" s="83"/>
      <c r="AB82" s="222">
        <v>2024</v>
      </c>
      <c r="AC82" s="223">
        <v>0.19</v>
      </c>
      <c r="AD82" s="223">
        <v>0.14285714285714285</v>
      </c>
    </row>
    <row r="83" spans="1:30" x14ac:dyDescent="0.25">
      <c r="A83" s="186">
        <f t="shared" si="11"/>
        <v>82</v>
      </c>
      <c r="B83" s="205" t="s">
        <v>228</v>
      </c>
      <c r="C83" s="71">
        <v>110.25</v>
      </c>
      <c r="D83" s="187">
        <v>78</v>
      </c>
      <c r="E83" s="71">
        <v>207</v>
      </c>
      <c r="F83" s="71">
        <v>44</v>
      </c>
      <c r="G83" s="83"/>
    </row>
    <row r="84" spans="1:30" x14ac:dyDescent="0.25">
      <c r="A84" s="186">
        <f t="shared" si="11"/>
        <v>83</v>
      </c>
      <c r="B84" s="205" t="s">
        <v>229</v>
      </c>
      <c r="C84" s="71">
        <v>110.92</v>
      </c>
      <c r="D84" s="187">
        <v>83</v>
      </c>
      <c r="E84" s="71">
        <v>230</v>
      </c>
      <c r="F84" s="71">
        <v>55</v>
      </c>
      <c r="G84" s="83"/>
    </row>
    <row r="85" spans="1:30" x14ac:dyDescent="0.25">
      <c r="A85" s="186">
        <f t="shared" si="11"/>
        <v>84</v>
      </c>
      <c r="B85" s="205" t="s">
        <v>230</v>
      </c>
      <c r="C85" s="71">
        <v>112.83</v>
      </c>
      <c r="D85" s="187">
        <v>129</v>
      </c>
      <c r="E85" s="71">
        <v>251</v>
      </c>
      <c r="F85" s="71">
        <v>36</v>
      </c>
      <c r="G85" s="83"/>
    </row>
    <row r="86" spans="1:30" x14ac:dyDescent="0.25">
      <c r="A86" s="186">
        <f t="shared" si="11"/>
        <v>85</v>
      </c>
      <c r="B86" s="205" t="s">
        <v>231</v>
      </c>
      <c r="C86" s="71">
        <v>112.53</v>
      </c>
      <c r="D86" s="187">
        <v>78</v>
      </c>
      <c r="E86" s="71">
        <v>282</v>
      </c>
      <c r="F86" s="71">
        <v>58</v>
      </c>
      <c r="G86" s="83"/>
    </row>
    <row r="87" spans="1:30" x14ac:dyDescent="0.25">
      <c r="A87" s="186">
        <f t="shared" si="11"/>
        <v>86</v>
      </c>
      <c r="B87" s="205" t="s">
        <v>232</v>
      </c>
      <c r="C87" s="71">
        <v>111.9</v>
      </c>
      <c r="D87" s="187">
        <v>126</v>
      </c>
      <c r="E87" s="71">
        <v>271</v>
      </c>
      <c r="F87" s="71">
        <v>63</v>
      </c>
      <c r="G87" s="83"/>
    </row>
    <row r="88" spans="1:30" x14ac:dyDescent="0.25">
      <c r="A88" s="186">
        <f t="shared" si="11"/>
        <v>87</v>
      </c>
      <c r="B88" s="205" t="s">
        <v>233</v>
      </c>
      <c r="C88" s="71">
        <v>111.62</v>
      </c>
      <c r="D88" s="187">
        <v>64</v>
      </c>
      <c r="E88" s="71">
        <v>166</v>
      </c>
      <c r="F88" s="71">
        <v>21</v>
      </c>
      <c r="G88" s="83"/>
    </row>
    <row r="89" spans="1:30" x14ac:dyDescent="0.25">
      <c r="A89" s="186">
        <f t="shared" si="11"/>
        <v>88</v>
      </c>
      <c r="B89" s="205" t="s">
        <v>234</v>
      </c>
      <c r="C89" s="71">
        <v>112.92</v>
      </c>
      <c r="D89" s="187">
        <v>72</v>
      </c>
      <c r="E89" s="71">
        <v>188</v>
      </c>
      <c r="F89" s="71">
        <v>41</v>
      </c>
      <c r="G89" s="83"/>
    </row>
    <row r="90" spans="1:30" x14ac:dyDescent="0.25">
      <c r="A90" s="186">
        <f t="shared" si="11"/>
        <v>89</v>
      </c>
      <c r="B90" s="205" t="s">
        <v>235</v>
      </c>
      <c r="C90" s="71">
        <v>113.57</v>
      </c>
      <c r="D90" s="187">
        <v>149</v>
      </c>
      <c r="E90" s="71">
        <v>220</v>
      </c>
      <c r="F90" s="71">
        <v>52</v>
      </c>
      <c r="G90" s="83"/>
    </row>
    <row r="91" spans="1:30" x14ac:dyDescent="0.25">
      <c r="A91" s="186">
        <f t="shared" si="11"/>
        <v>90</v>
      </c>
      <c r="B91" s="205" t="s">
        <v>236</v>
      </c>
      <c r="C91" s="71">
        <v>113.26</v>
      </c>
      <c r="D91" s="187">
        <v>52</v>
      </c>
      <c r="E91" s="71">
        <v>263</v>
      </c>
      <c r="F91" s="71">
        <v>45</v>
      </c>
      <c r="G91" s="83"/>
    </row>
    <row r="92" spans="1:30" x14ac:dyDescent="0.25">
      <c r="A92" s="186">
        <f t="shared" si="11"/>
        <v>91</v>
      </c>
      <c r="B92" s="205" t="s">
        <v>237</v>
      </c>
      <c r="C92" s="71">
        <v>114.12</v>
      </c>
      <c r="D92" s="187">
        <v>122</v>
      </c>
      <c r="E92" s="71">
        <v>218</v>
      </c>
      <c r="F92" s="71">
        <v>55</v>
      </c>
      <c r="G92" s="83"/>
    </row>
    <row r="93" spans="1:30" x14ac:dyDescent="0.25">
      <c r="A93" s="186">
        <f t="shared" si="11"/>
        <v>92</v>
      </c>
      <c r="B93" s="205" t="s">
        <v>238</v>
      </c>
      <c r="C93" s="71">
        <v>114.52</v>
      </c>
      <c r="D93" s="187">
        <v>135</v>
      </c>
      <c r="E93" s="71">
        <v>175</v>
      </c>
      <c r="F93" s="71">
        <v>45</v>
      </c>
      <c r="G93" s="83"/>
    </row>
    <row r="94" spans="1:30" x14ac:dyDescent="0.25">
      <c r="A94" s="186">
        <f t="shared" si="11"/>
        <v>93</v>
      </c>
      <c r="B94" s="205" t="s">
        <v>239</v>
      </c>
      <c r="C94" s="71">
        <v>115.91</v>
      </c>
      <c r="D94" s="187">
        <v>74</v>
      </c>
      <c r="E94" s="71">
        <v>169</v>
      </c>
      <c r="F94" s="71">
        <v>60</v>
      </c>
      <c r="G94" s="83"/>
    </row>
    <row r="95" spans="1:30" x14ac:dyDescent="0.25">
      <c r="A95" s="186">
        <f t="shared" si="11"/>
        <v>94</v>
      </c>
      <c r="B95" s="205" t="s">
        <v>240</v>
      </c>
      <c r="C95" s="71">
        <v>115.39</v>
      </c>
      <c r="D95" s="187">
        <v>99</v>
      </c>
      <c r="E95" s="71">
        <v>212</v>
      </c>
      <c r="F95" s="71">
        <v>26</v>
      </c>
      <c r="G95" s="83"/>
    </row>
    <row r="96" spans="1:30" x14ac:dyDescent="0.25">
      <c r="A96" s="186">
        <f t="shared" si="11"/>
        <v>95</v>
      </c>
      <c r="B96" s="205" t="s">
        <v>241</v>
      </c>
      <c r="C96" s="71">
        <v>115.3</v>
      </c>
      <c r="D96" s="187">
        <v>128</v>
      </c>
      <c r="E96" s="71">
        <v>231</v>
      </c>
      <c r="F96" s="71">
        <v>50</v>
      </c>
      <c r="G96" s="83"/>
    </row>
    <row r="97" spans="1:7" x14ac:dyDescent="0.25">
      <c r="A97" s="186">
        <f t="shared" si="11"/>
        <v>96</v>
      </c>
      <c r="B97" s="205" t="s">
        <v>242</v>
      </c>
      <c r="C97" s="71">
        <v>115.13</v>
      </c>
      <c r="D97" s="187">
        <v>136</v>
      </c>
      <c r="E97" s="71">
        <v>298</v>
      </c>
      <c r="F97" s="71">
        <v>41</v>
      </c>
      <c r="G97" s="83"/>
    </row>
    <row r="98" spans="1:7" x14ac:dyDescent="0.25">
      <c r="A98" s="186">
        <f t="shared" si="11"/>
        <v>97</v>
      </c>
      <c r="B98" s="205" t="s">
        <v>243</v>
      </c>
      <c r="C98" s="71">
        <v>113.74</v>
      </c>
      <c r="D98" s="187">
        <v>93</v>
      </c>
      <c r="E98" s="71">
        <v>233</v>
      </c>
      <c r="F98" s="71">
        <v>40</v>
      </c>
      <c r="G98" s="83"/>
    </row>
    <row r="99" spans="1:7" x14ac:dyDescent="0.25">
      <c r="A99" s="186">
        <f t="shared" si="11"/>
        <v>98</v>
      </c>
      <c r="B99" s="205" t="s">
        <v>244</v>
      </c>
      <c r="C99" s="71">
        <v>114.36</v>
      </c>
      <c r="D99" s="187">
        <v>108</v>
      </c>
      <c r="E99" s="71">
        <v>293</v>
      </c>
      <c r="F99" s="71">
        <v>51</v>
      </c>
      <c r="G99" s="83"/>
    </row>
    <row r="100" spans="1:7" x14ac:dyDescent="0.25">
      <c r="A100" s="186">
        <f t="shared" si="11"/>
        <v>99</v>
      </c>
      <c r="B100" s="205" t="s">
        <v>245</v>
      </c>
      <c r="C100" s="71">
        <v>114.94</v>
      </c>
      <c r="D100" s="187">
        <v>51</v>
      </c>
      <c r="E100" s="71">
        <v>168</v>
      </c>
      <c r="F100" s="71">
        <v>46</v>
      </c>
      <c r="G100" s="83"/>
    </row>
    <row r="101" spans="1:7" x14ac:dyDescent="0.25">
      <c r="A101" s="186">
        <f t="shared" si="11"/>
        <v>100</v>
      </c>
      <c r="B101" s="205" t="s">
        <v>246</v>
      </c>
      <c r="C101" s="71">
        <v>115.24</v>
      </c>
      <c r="D101" s="187">
        <v>112</v>
      </c>
      <c r="E101" s="71">
        <v>258</v>
      </c>
      <c r="F101" s="71">
        <v>69</v>
      </c>
      <c r="G101" s="83"/>
    </row>
    <row r="102" spans="1:7" x14ac:dyDescent="0.25">
      <c r="A102" s="186">
        <f t="shared" si="11"/>
        <v>101</v>
      </c>
      <c r="B102" s="205" t="s">
        <v>247</v>
      </c>
      <c r="C102" s="71">
        <v>115.25</v>
      </c>
      <c r="D102" s="187">
        <v>109</v>
      </c>
      <c r="E102" s="71">
        <v>150</v>
      </c>
      <c r="F102" s="71">
        <v>26</v>
      </c>
      <c r="G102" s="83"/>
    </row>
    <row r="103" spans="1:7" x14ac:dyDescent="0.25">
      <c r="A103" s="186">
        <f t="shared" si="11"/>
        <v>102</v>
      </c>
      <c r="B103" s="205" t="s">
        <v>248</v>
      </c>
      <c r="C103" s="71">
        <v>113.91</v>
      </c>
      <c r="D103" s="187">
        <v>115</v>
      </c>
      <c r="E103" s="71">
        <v>199</v>
      </c>
      <c r="F103" s="71">
        <v>54</v>
      </c>
      <c r="G103" s="83"/>
    </row>
    <row r="104" spans="1:7" x14ac:dyDescent="0.25">
      <c r="A104" s="186">
        <f t="shared" si="11"/>
        <v>103</v>
      </c>
      <c r="B104" s="205" t="s">
        <v>249</v>
      </c>
      <c r="C104" s="71">
        <v>113.72</v>
      </c>
      <c r="D104" s="187">
        <v>105</v>
      </c>
      <c r="E104" s="71">
        <v>221</v>
      </c>
      <c r="F104" s="71">
        <v>36</v>
      </c>
      <c r="G104" s="83"/>
    </row>
    <row r="105" spans="1:7" x14ac:dyDescent="0.25">
      <c r="A105" s="186">
        <f t="shared" si="11"/>
        <v>104</v>
      </c>
      <c r="B105" s="205" t="s">
        <v>250</v>
      </c>
      <c r="C105" s="71">
        <v>113.61</v>
      </c>
      <c r="D105" s="187">
        <v>103</v>
      </c>
      <c r="E105" s="71">
        <v>205</v>
      </c>
      <c r="F105" s="71">
        <v>71</v>
      </c>
      <c r="G105" s="83"/>
    </row>
    <row r="106" spans="1:7" x14ac:dyDescent="0.25">
      <c r="A106" s="186">
        <f t="shared" si="11"/>
        <v>105</v>
      </c>
      <c r="B106" s="205" t="s">
        <v>251</v>
      </c>
      <c r="C106" s="71">
        <v>112.98</v>
      </c>
      <c r="D106" s="187">
        <v>70</v>
      </c>
      <c r="E106" s="71">
        <v>284</v>
      </c>
      <c r="F106" s="71">
        <v>27</v>
      </c>
      <c r="G106" s="83"/>
    </row>
    <row r="107" spans="1:7" x14ac:dyDescent="0.25">
      <c r="A107" s="186">
        <f t="shared" si="11"/>
        <v>106</v>
      </c>
      <c r="B107" s="205" t="s">
        <v>252</v>
      </c>
      <c r="C107" s="71">
        <v>113.08</v>
      </c>
      <c r="D107" s="187">
        <v>126</v>
      </c>
      <c r="E107" s="71">
        <v>239</v>
      </c>
      <c r="F107" s="71">
        <v>59</v>
      </c>
      <c r="G107" s="83"/>
    </row>
    <row r="108" spans="1:7" x14ac:dyDescent="0.25">
      <c r="A108" s="186">
        <f t="shared" si="11"/>
        <v>107</v>
      </c>
      <c r="B108" s="205" t="s">
        <v>253</v>
      </c>
      <c r="C108" s="71">
        <v>113.82</v>
      </c>
      <c r="D108" s="187">
        <v>69</v>
      </c>
      <c r="E108" s="71">
        <v>299</v>
      </c>
      <c r="F108" s="71">
        <v>62</v>
      </c>
      <c r="G108" s="83"/>
    </row>
    <row r="109" spans="1:7" x14ac:dyDescent="0.25">
      <c r="A109" s="186">
        <f t="shared" si="11"/>
        <v>108</v>
      </c>
      <c r="B109" s="205" t="s">
        <v>254</v>
      </c>
      <c r="C109" s="71">
        <v>116.26</v>
      </c>
      <c r="D109" s="187">
        <v>133</v>
      </c>
      <c r="E109" s="71">
        <v>186</v>
      </c>
      <c r="F109" s="71">
        <v>58</v>
      </c>
      <c r="G109" s="83"/>
    </row>
    <row r="110" spans="1:7" x14ac:dyDescent="0.25">
      <c r="A110" s="186">
        <f t="shared" si="11"/>
        <v>109</v>
      </c>
    </row>
    <row r="111" spans="1:7" x14ac:dyDescent="0.25">
      <c r="A111" s="186">
        <f t="shared" si="11"/>
        <v>110</v>
      </c>
    </row>
    <row r="112" spans="1:7" x14ac:dyDescent="0.25">
      <c r="A112" s="186">
        <f t="shared" si="11"/>
        <v>111</v>
      </c>
    </row>
    <row r="113" spans="1:1" x14ac:dyDescent="0.25">
      <c r="A113" s="186">
        <f t="shared" si="11"/>
        <v>112</v>
      </c>
    </row>
    <row r="114" spans="1:1" x14ac:dyDescent="0.25">
      <c r="A114" s="186">
        <f t="shared" si="11"/>
        <v>113</v>
      </c>
    </row>
    <row r="115" spans="1:1" x14ac:dyDescent="0.25">
      <c r="A115" s="186">
        <f t="shared" si="11"/>
        <v>114</v>
      </c>
    </row>
    <row r="116" spans="1:1" x14ac:dyDescent="0.25">
      <c r="A116" s="186">
        <f t="shared" si="11"/>
        <v>115</v>
      </c>
    </row>
    <row r="117" spans="1:1" x14ac:dyDescent="0.25">
      <c r="A117" s="186">
        <f t="shared" si="11"/>
        <v>116</v>
      </c>
    </row>
    <row r="118" spans="1:1" x14ac:dyDescent="0.25">
      <c r="A118" s="186">
        <f t="shared" si="11"/>
        <v>117</v>
      </c>
    </row>
    <row r="119" spans="1:1" x14ac:dyDescent="0.25">
      <c r="A119" s="186">
        <f t="shared" si="11"/>
        <v>118</v>
      </c>
    </row>
    <row r="120" spans="1:1" x14ac:dyDescent="0.25">
      <c r="A120" s="186">
        <f t="shared" si="11"/>
        <v>119</v>
      </c>
    </row>
    <row r="121" spans="1:1" x14ac:dyDescent="0.25">
      <c r="A121" s="186">
        <f t="shared" si="11"/>
        <v>120</v>
      </c>
    </row>
    <row r="122" spans="1:1" x14ac:dyDescent="0.25">
      <c r="A122" s="186">
        <f t="shared" si="11"/>
        <v>121</v>
      </c>
    </row>
    <row r="123" spans="1:1" x14ac:dyDescent="0.25">
      <c r="A123" s="186">
        <f t="shared" si="11"/>
        <v>122</v>
      </c>
    </row>
    <row r="124" spans="1:1" x14ac:dyDescent="0.25">
      <c r="A124" s="186">
        <f t="shared" si="11"/>
        <v>123</v>
      </c>
    </row>
    <row r="125" spans="1:1" x14ac:dyDescent="0.25">
      <c r="A125" s="186">
        <f t="shared" si="11"/>
        <v>124</v>
      </c>
    </row>
    <row r="126" spans="1:1" x14ac:dyDescent="0.25">
      <c r="A126" s="186">
        <f t="shared" si="11"/>
        <v>125</v>
      </c>
    </row>
    <row r="127" spans="1:1" x14ac:dyDescent="0.25">
      <c r="A127" s="186">
        <f t="shared" si="11"/>
        <v>126</v>
      </c>
    </row>
    <row r="128" spans="1:1" x14ac:dyDescent="0.25">
      <c r="A128" s="186">
        <f t="shared" si="11"/>
        <v>127</v>
      </c>
    </row>
    <row r="129" spans="1:1" x14ac:dyDescent="0.25">
      <c r="A129" s="186">
        <f t="shared" si="11"/>
        <v>128</v>
      </c>
    </row>
    <row r="130" spans="1:1" x14ac:dyDescent="0.25">
      <c r="A130" s="186">
        <f t="shared" si="11"/>
        <v>129</v>
      </c>
    </row>
    <row r="131" spans="1:1" x14ac:dyDescent="0.25">
      <c r="A131" s="186">
        <f t="shared" si="11"/>
        <v>130</v>
      </c>
    </row>
    <row r="132" spans="1:1" x14ac:dyDescent="0.25">
      <c r="A132" s="186">
        <f t="shared" ref="A132:A177" si="12">A131+1</f>
        <v>131</v>
      </c>
    </row>
    <row r="133" spans="1:1" x14ac:dyDescent="0.25">
      <c r="A133" s="186">
        <f t="shared" si="12"/>
        <v>132</v>
      </c>
    </row>
    <row r="134" spans="1:1" x14ac:dyDescent="0.25">
      <c r="A134" s="186">
        <f t="shared" si="12"/>
        <v>133</v>
      </c>
    </row>
    <row r="135" spans="1:1" x14ac:dyDescent="0.25">
      <c r="A135" s="186">
        <f t="shared" si="12"/>
        <v>134</v>
      </c>
    </row>
    <row r="136" spans="1:1" x14ac:dyDescent="0.25">
      <c r="A136" s="186">
        <f t="shared" si="12"/>
        <v>135</v>
      </c>
    </row>
    <row r="137" spans="1:1" x14ac:dyDescent="0.25">
      <c r="A137" s="186">
        <f t="shared" si="12"/>
        <v>136</v>
      </c>
    </row>
    <row r="138" spans="1:1" x14ac:dyDescent="0.25">
      <c r="A138" s="186">
        <f t="shared" si="12"/>
        <v>137</v>
      </c>
    </row>
    <row r="139" spans="1:1" x14ac:dyDescent="0.25">
      <c r="A139" s="186">
        <f t="shared" si="12"/>
        <v>138</v>
      </c>
    </row>
    <row r="140" spans="1:1" x14ac:dyDescent="0.25">
      <c r="A140" s="186">
        <f t="shared" si="12"/>
        <v>139</v>
      </c>
    </row>
    <row r="141" spans="1:1" x14ac:dyDescent="0.25">
      <c r="A141" s="186">
        <f t="shared" si="12"/>
        <v>140</v>
      </c>
    </row>
    <row r="142" spans="1:1" x14ac:dyDescent="0.25">
      <c r="A142" s="186">
        <f t="shared" si="12"/>
        <v>141</v>
      </c>
    </row>
    <row r="143" spans="1:1" x14ac:dyDescent="0.25">
      <c r="A143" s="186">
        <f t="shared" si="12"/>
        <v>142</v>
      </c>
    </row>
    <row r="144" spans="1:1" x14ac:dyDescent="0.25">
      <c r="A144" s="186">
        <f t="shared" si="12"/>
        <v>143</v>
      </c>
    </row>
    <row r="145" spans="1:1" x14ac:dyDescent="0.25">
      <c r="A145" s="186">
        <f t="shared" si="12"/>
        <v>144</v>
      </c>
    </row>
    <row r="146" spans="1:1" x14ac:dyDescent="0.25">
      <c r="A146" s="186">
        <f t="shared" si="12"/>
        <v>145</v>
      </c>
    </row>
    <row r="147" spans="1:1" x14ac:dyDescent="0.25">
      <c r="A147" s="186">
        <f t="shared" si="12"/>
        <v>146</v>
      </c>
    </row>
    <row r="148" spans="1:1" x14ac:dyDescent="0.25">
      <c r="A148" s="186">
        <f t="shared" si="12"/>
        <v>147</v>
      </c>
    </row>
    <row r="149" spans="1:1" x14ac:dyDescent="0.25">
      <c r="A149" s="186">
        <f t="shared" si="12"/>
        <v>148</v>
      </c>
    </row>
    <row r="150" spans="1:1" x14ac:dyDescent="0.25">
      <c r="A150" s="186">
        <f t="shared" si="12"/>
        <v>149</v>
      </c>
    </row>
    <row r="151" spans="1:1" x14ac:dyDescent="0.25">
      <c r="A151" s="186">
        <f t="shared" si="12"/>
        <v>150</v>
      </c>
    </row>
    <row r="152" spans="1:1" x14ac:dyDescent="0.25">
      <c r="A152" s="186">
        <f t="shared" si="12"/>
        <v>151</v>
      </c>
    </row>
    <row r="153" spans="1:1" x14ac:dyDescent="0.25">
      <c r="A153" s="186">
        <f t="shared" si="12"/>
        <v>152</v>
      </c>
    </row>
    <row r="154" spans="1:1" x14ac:dyDescent="0.25">
      <c r="A154" s="186">
        <f t="shared" si="12"/>
        <v>153</v>
      </c>
    </row>
    <row r="155" spans="1:1" x14ac:dyDescent="0.25">
      <c r="A155" s="186">
        <f t="shared" si="12"/>
        <v>154</v>
      </c>
    </row>
    <row r="156" spans="1:1" x14ac:dyDescent="0.25">
      <c r="A156" s="186">
        <f t="shared" si="12"/>
        <v>155</v>
      </c>
    </row>
    <row r="157" spans="1:1" x14ac:dyDescent="0.25">
      <c r="A157" s="186">
        <f t="shared" si="12"/>
        <v>156</v>
      </c>
    </row>
    <row r="158" spans="1:1" x14ac:dyDescent="0.25">
      <c r="A158" s="186">
        <f t="shared" si="12"/>
        <v>157</v>
      </c>
    </row>
    <row r="159" spans="1:1" x14ac:dyDescent="0.25">
      <c r="A159" s="186">
        <f t="shared" si="12"/>
        <v>158</v>
      </c>
    </row>
    <row r="160" spans="1:1" x14ac:dyDescent="0.25">
      <c r="A160" s="186">
        <f t="shared" si="12"/>
        <v>159</v>
      </c>
    </row>
    <row r="161" spans="1:1" x14ac:dyDescent="0.25">
      <c r="A161" s="186">
        <f t="shared" si="12"/>
        <v>160</v>
      </c>
    </row>
    <row r="162" spans="1:1" x14ac:dyDescent="0.25">
      <c r="A162" s="186">
        <f t="shared" si="12"/>
        <v>161</v>
      </c>
    </row>
    <row r="163" spans="1:1" x14ac:dyDescent="0.25">
      <c r="A163" s="186">
        <f t="shared" si="12"/>
        <v>162</v>
      </c>
    </row>
    <row r="164" spans="1:1" x14ac:dyDescent="0.25">
      <c r="A164" s="186">
        <f t="shared" si="12"/>
        <v>163</v>
      </c>
    </row>
    <row r="165" spans="1:1" x14ac:dyDescent="0.25">
      <c r="A165" s="186">
        <f t="shared" si="12"/>
        <v>164</v>
      </c>
    </row>
    <row r="166" spans="1:1" x14ac:dyDescent="0.25">
      <c r="A166" s="186">
        <f t="shared" si="12"/>
        <v>165</v>
      </c>
    </row>
    <row r="167" spans="1:1" x14ac:dyDescent="0.25">
      <c r="A167" s="186">
        <f t="shared" si="12"/>
        <v>166</v>
      </c>
    </row>
    <row r="168" spans="1:1" x14ac:dyDescent="0.25">
      <c r="A168" s="186">
        <f t="shared" si="12"/>
        <v>167</v>
      </c>
    </row>
    <row r="169" spans="1:1" x14ac:dyDescent="0.25">
      <c r="A169" s="186">
        <f t="shared" si="12"/>
        <v>168</v>
      </c>
    </row>
    <row r="170" spans="1:1" x14ac:dyDescent="0.25">
      <c r="A170" s="186">
        <f t="shared" si="12"/>
        <v>169</v>
      </c>
    </row>
    <row r="171" spans="1:1" x14ac:dyDescent="0.25">
      <c r="A171" s="186">
        <f t="shared" si="12"/>
        <v>170</v>
      </c>
    </row>
    <row r="172" spans="1:1" x14ac:dyDescent="0.25">
      <c r="A172" s="186">
        <f t="shared" si="12"/>
        <v>171</v>
      </c>
    </row>
    <row r="173" spans="1:1" x14ac:dyDescent="0.25">
      <c r="A173" s="186">
        <f t="shared" si="12"/>
        <v>172</v>
      </c>
    </row>
    <row r="174" spans="1:1" x14ac:dyDescent="0.25">
      <c r="A174" s="186">
        <f t="shared" si="12"/>
        <v>173</v>
      </c>
    </row>
    <row r="175" spans="1:1" x14ac:dyDescent="0.25">
      <c r="A175" s="186">
        <f t="shared" si="12"/>
        <v>174</v>
      </c>
    </row>
    <row r="176" spans="1:1" x14ac:dyDescent="0.25">
      <c r="A176" s="186">
        <f t="shared" si="12"/>
        <v>175</v>
      </c>
    </row>
    <row r="177" spans="1:1" x14ac:dyDescent="0.25">
      <c r="A177" s="186">
        <f t="shared" si="12"/>
        <v>176</v>
      </c>
    </row>
  </sheetData>
  <mergeCells count="18">
    <mergeCell ref="Z56:AA56"/>
    <mergeCell ref="M38:N38"/>
    <mergeCell ref="M39:R39"/>
    <mergeCell ref="M8:N8"/>
    <mergeCell ref="M9:R9"/>
    <mergeCell ref="Y53:AD55"/>
    <mergeCell ref="M1:R1"/>
    <mergeCell ref="M11:R11"/>
    <mergeCell ref="M18:N18"/>
    <mergeCell ref="M19:R19"/>
    <mergeCell ref="H2:I2"/>
    <mergeCell ref="H12:I12"/>
    <mergeCell ref="H23:I23"/>
    <mergeCell ref="H33:I33"/>
    <mergeCell ref="M21:R21"/>
    <mergeCell ref="M28:N28"/>
    <mergeCell ref="M29:R29"/>
    <mergeCell ref="M31:R3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4"/>
  <sheetViews>
    <sheetView tabSelected="1" topLeftCell="A61" workbookViewId="0">
      <selection activeCell="B66" sqref="B66:B74"/>
    </sheetView>
  </sheetViews>
  <sheetFormatPr baseColWidth="10" defaultRowHeight="15" x14ac:dyDescent="0.25"/>
  <cols>
    <col min="1" max="1" width="6.28515625" style="242" bestFit="1" customWidth="1"/>
    <col min="2" max="2" width="16.42578125" style="265" bestFit="1" customWidth="1"/>
    <col min="3" max="3" width="9.140625" style="265" bestFit="1" customWidth="1"/>
    <col min="4" max="4" width="6.5703125" style="265" bestFit="1" customWidth="1"/>
    <col min="5" max="5" width="16.42578125" style="273" bestFit="1" customWidth="1"/>
  </cols>
  <sheetData>
    <row r="1" spans="1:7" x14ac:dyDescent="0.25">
      <c r="A1" s="98" t="s">
        <v>326</v>
      </c>
      <c r="B1" s="98" t="s">
        <v>351</v>
      </c>
      <c r="C1" s="98" t="s">
        <v>329</v>
      </c>
      <c r="D1" s="98" t="s">
        <v>330</v>
      </c>
      <c r="E1" s="135"/>
    </row>
    <row r="2" spans="1:7" x14ac:dyDescent="0.25">
      <c r="A2" s="101">
        <v>1</v>
      </c>
      <c r="B2" s="98" t="s">
        <v>342</v>
      </c>
      <c r="C2" s="98">
        <v>100</v>
      </c>
      <c r="D2" s="281">
        <v>103.252</v>
      </c>
      <c r="E2" s="135"/>
      <c r="F2" s="275"/>
    </row>
    <row r="3" spans="1:7" x14ac:dyDescent="0.25">
      <c r="A3" s="101">
        <v>2</v>
      </c>
      <c r="B3" s="98" t="s">
        <v>340</v>
      </c>
      <c r="C3" s="98">
        <v>103.252</v>
      </c>
      <c r="D3" s="281">
        <v>106.50399999999999</v>
      </c>
      <c r="E3" s="135"/>
      <c r="F3" s="275"/>
    </row>
    <row r="4" spans="1:7" x14ac:dyDescent="0.25">
      <c r="A4" s="101">
        <v>3</v>
      </c>
      <c r="B4" s="98" t="s">
        <v>339</v>
      </c>
      <c r="C4" s="98">
        <v>106.50399999999999</v>
      </c>
      <c r="D4" s="281">
        <v>109.75599999999999</v>
      </c>
      <c r="E4" s="135"/>
      <c r="F4" s="275"/>
    </row>
    <row r="5" spans="1:7" x14ac:dyDescent="0.25">
      <c r="A5" s="101">
        <v>4</v>
      </c>
      <c r="B5" s="98" t="s">
        <v>335</v>
      </c>
      <c r="C5" s="98">
        <v>109.75599999999999</v>
      </c>
      <c r="D5" s="281">
        <v>113.00799999999998</v>
      </c>
      <c r="E5" s="135"/>
      <c r="F5" s="275"/>
    </row>
    <row r="6" spans="1:7" x14ac:dyDescent="0.25">
      <c r="A6" s="101">
        <v>5</v>
      </c>
      <c r="B6" s="98" t="s">
        <v>336</v>
      </c>
      <c r="C6" s="98">
        <v>113.00799999999998</v>
      </c>
      <c r="D6" s="281">
        <v>116.25999999999998</v>
      </c>
      <c r="E6" s="135"/>
      <c r="F6" s="275"/>
    </row>
    <row r="8" spans="1:7" x14ac:dyDescent="0.25">
      <c r="A8" s="98" t="s">
        <v>408</v>
      </c>
      <c r="B8" s="98" t="s">
        <v>410</v>
      </c>
      <c r="C8" s="98" t="s">
        <v>409</v>
      </c>
    </row>
    <row r="9" spans="1:7" x14ac:dyDescent="0.25">
      <c r="A9" s="98">
        <v>2016</v>
      </c>
      <c r="B9" s="209">
        <v>106.95</v>
      </c>
      <c r="C9" s="98" t="str">
        <f>IF(B9&lt;=$D$2,"muy bajo",IF(B9&lt;=$D$3,"bajo",IF(B9&lt;=$D$4,"medio",IF(B9&lt;=$D$5,"alto",IF(B9&lt;=$D$6,"muy alto")))))</f>
        <v>medio</v>
      </c>
    </row>
    <row r="10" spans="1:7" x14ac:dyDescent="0.25">
      <c r="A10" s="98">
        <f>A9+1</f>
        <v>2017</v>
      </c>
      <c r="B10" s="209">
        <v>103.59</v>
      </c>
      <c r="C10" s="98" t="str">
        <f t="shared" ref="C10:C17" si="0">IF(B10&lt;=$D$2,"muy bajo",IF(B10&lt;=$D$3,"bajo",IF(B10&lt;=$D$4,"medio",IF(B10&lt;=$D$5,"alto",IF(B10&lt;=$D$6,"muy alto")))))</f>
        <v>bajo</v>
      </c>
    </row>
    <row r="11" spans="1:7" ht="15.75" customHeight="1" x14ac:dyDescent="0.25">
      <c r="A11" s="98">
        <f t="shared" ref="A11:A16" si="1">A10+1</f>
        <v>2018</v>
      </c>
      <c r="B11" s="209">
        <v>104.04</v>
      </c>
      <c r="C11" s="98" t="str">
        <f t="shared" si="0"/>
        <v>bajo</v>
      </c>
      <c r="D11" s="282"/>
      <c r="E11" s="276"/>
      <c r="F11" s="276"/>
      <c r="G11" s="276"/>
    </row>
    <row r="12" spans="1:7" x14ac:dyDescent="0.25">
      <c r="A12" s="98">
        <f t="shared" si="1"/>
        <v>2019</v>
      </c>
      <c r="B12" s="209">
        <v>100.65</v>
      </c>
      <c r="C12" s="98" t="str">
        <f t="shared" si="0"/>
        <v>muy bajo</v>
      </c>
    </row>
    <row r="13" spans="1:7" x14ac:dyDescent="0.25">
      <c r="A13" s="98">
        <f t="shared" si="1"/>
        <v>2020</v>
      </c>
      <c r="B13" s="209">
        <v>104.35</v>
      </c>
      <c r="C13" s="98" t="str">
        <f t="shared" si="0"/>
        <v>bajo</v>
      </c>
    </row>
    <row r="14" spans="1:7" x14ac:dyDescent="0.25">
      <c r="A14" s="98">
        <f t="shared" si="1"/>
        <v>2021</v>
      </c>
      <c r="B14" s="209">
        <v>108.76</v>
      </c>
      <c r="C14" s="98" t="str">
        <f t="shared" si="0"/>
        <v>medio</v>
      </c>
    </row>
    <row r="15" spans="1:7" x14ac:dyDescent="0.25">
      <c r="A15" s="98">
        <f t="shared" si="1"/>
        <v>2022</v>
      </c>
      <c r="B15" s="209">
        <v>112.83</v>
      </c>
      <c r="C15" s="98" t="str">
        <f t="shared" si="0"/>
        <v>alto</v>
      </c>
    </row>
    <row r="16" spans="1:7" x14ac:dyDescent="0.25">
      <c r="A16" s="98">
        <f t="shared" si="1"/>
        <v>2023</v>
      </c>
      <c r="B16" s="209">
        <v>115.13</v>
      </c>
      <c r="C16" s="98" t="str">
        <f t="shared" si="0"/>
        <v>muy alto</v>
      </c>
    </row>
    <row r="17" spans="1:9" x14ac:dyDescent="0.25">
      <c r="A17" s="98">
        <f>A16+1</f>
        <v>2024</v>
      </c>
      <c r="B17" s="209">
        <v>116.26</v>
      </c>
      <c r="C17" s="98" t="str">
        <f t="shared" si="0"/>
        <v>muy alto</v>
      </c>
    </row>
    <row r="20" spans="1:9" x14ac:dyDescent="0.25">
      <c r="A20" s="98" t="s">
        <v>327</v>
      </c>
      <c r="B20" s="98" t="s">
        <v>351</v>
      </c>
      <c r="C20" s="98" t="s">
        <v>329</v>
      </c>
      <c r="D20" s="98" t="s">
        <v>330</v>
      </c>
    </row>
    <row r="21" spans="1:9" x14ac:dyDescent="0.25">
      <c r="A21" s="98">
        <v>1</v>
      </c>
      <c r="B21" s="98" t="s">
        <v>342</v>
      </c>
      <c r="C21" s="98">
        <v>50</v>
      </c>
      <c r="D21" s="98">
        <v>70</v>
      </c>
    </row>
    <row r="22" spans="1:9" x14ac:dyDescent="0.25">
      <c r="A22" s="98">
        <v>2</v>
      </c>
      <c r="B22" s="98" t="s">
        <v>340</v>
      </c>
      <c r="C22" s="98">
        <v>70</v>
      </c>
      <c r="D22" s="98">
        <v>90</v>
      </c>
    </row>
    <row r="23" spans="1:9" x14ac:dyDescent="0.25">
      <c r="A23" s="98">
        <v>3</v>
      </c>
      <c r="B23" s="98" t="s">
        <v>339</v>
      </c>
      <c r="C23" s="98">
        <v>90</v>
      </c>
      <c r="D23" s="98">
        <v>110</v>
      </c>
    </row>
    <row r="24" spans="1:9" x14ac:dyDescent="0.25">
      <c r="A24" s="98">
        <v>4</v>
      </c>
      <c r="B24" s="98" t="s">
        <v>335</v>
      </c>
      <c r="C24" s="98">
        <v>110</v>
      </c>
      <c r="D24" s="98">
        <v>130</v>
      </c>
    </row>
    <row r="25" spans="1:9" x14ac:dyDescent="0.25">
      <c r="A25" s="98">
        <v>5</v>
      </c>
      <c r="B25" s="98" t="s">
        <v>336</v>
      </c>
      <c r="C25" s="98">
        <v>130</v>
      </c>
      <c r="D25" s="98">
        <v>150</v>
      </c>
    </row>
    <row r="27" spans="1:9" x14ac:dyDescent="0.25">
      <c r="A27" s="98" t="s">
        <v>408</v>
      </c>
      <c r="B27" s="98" t="s">
        <v>417</v>
      </c>
      <c r="C27" s="98" t="s">
        <v>409</v>
      </c>
    </row>
    <row r="28" spans="1:9" x14ac:dyDescent="0.25">
      <c r="A28" s="98">
        <v>2016</v>
      </c>
      <c r="B28" s="98">
        <v>58</v>
      </c>
      <c r="C28" s="98" t="str">
        <f>IF(B28&lt;=$D$21,"muy bajo",IF(B28&lt;=$D$22,"bajo",IF(B28&lt;=$D$23,"medio",IF(B28&lt;=$D$24,"alto",IF(B28&lt;=$D$25," muy alto")))))</f>
        <v>muy bajo</v>
      </c>
      <c r="D28" s="282"/>
      <c r="E28" s="276"/>
      <c r="F28" s="276"/>
      <c r="G28" s="276"/>
      <c r="H28" s="276"/>
      <c r="I28" s="276"/>
    </row>
    <row r="29" spans="1:9" x14ac:dyDescent="0.25">
      <c r="A29" s="98">
        <v>2017</v>
      </c>
      <c r="B29" s="98">
        <v>69</v>
      </c>
      <c r="C29" s="98" t="str">
        <f t="shared" ref="C29:C36" si="2">IF(B29&lt;=$D$21,"muy bajo",IF(B29&lt;=$D$22,"bajo",IF(B29&lt;=$D$23,"medio",IF(B29&lt;=$D$24,"alto",IF(B29&lt;=$D$25," muy alto")))))</f>
        <v>muy bajo</v>
      </c>
    </row>
    <row r="30" spans="1:9" x14ac:dyDescent="0.25">
      <c r="A30" s="98">
        <v>2018</v>
      </c>
      <c r="B30" s="98">
        <v>126</v>
      </c>
      <c r="C30" s="98" t="str">
        <f t="shared" si="2"/>
        <v>alto</v>
      </c>
    </row>
    <row r="31" spans="1:9" x14ac:dyDescent="0.25">
      <c r="A31" s="98">
        <v>2019</v>
      </c>
      <c r="B31" s="98">
        <v>52</v>
      </c>
      <c r="C31" s="98" t="str">
        <f t="shared" si="2"/>
        <v>muy bajo</v>
      </c>
    </row>
    <row r="32" spans="1:9" x14ac:dyDescent="0.25">
      <c r="A32" s="98">
        <v>2020</v>
      </c>
      <c r="B32" s="98">
        <v>52</v>
      </c>
      <c r="C32" s="98" t="str">
        <f t="shared" si="2"/>
        <v>muy bajo</v>
      </c>
    </row>
    <row r="33" spans="1:13" x14ac:dyDescent="0.25">
      <c r="A33" s="98">
        <v>2021</v>
      </c>
      <c r="B33" s="98">
        <v>71</v>
      </c>
      <c r="C33" s="98" t="str">
        <f t="shared" si="2"/>
        <v>bajo</v>
      </c>
    </row>
    <row r="34" spans="1:13" x14ac:dyDescent="0.25">
      <c r="A34" s="98">
        <v>2022</v>
      </c>
      <c r="B34" s="98">
        <v>129</v>
      </c>
      <c r="C34" s="98" t="str">
        <f t="shared" si="2"/>
        <v>alto</v>
      </c>
    </row>
    <row r="35" spans="1:13" x14ac:dyDescent="0.25">
      <c r="A35" s="98">
        <v>2023</v>
      </c>
      <c r="B35" s="98">
        <v>136</v>
      </c>
      <c r="C35" s="98" t="str">
        <f t="shared" si="2"/>
        <v xml:space="preserve"> muy alto</v>
      </c>
    </row>
    <row r="36" spans="1:13" x14ac:dyDescent="0.25">
      <c r="A36" s="98">
        <v>2024</v>
      </c>
      <c r="B36" s="98">
        <v>133</v>
      </c>
      <c r="C36" s="98" t="str">
        <f t="shared" si="2"/>
        <v xml:space="preserve"> muy alto</v>
      </c>
    </row>
    <row r="39" spans="1:13" x14ac:dyDescent="0.25">
      <c r="A39" s="98" t="s">
        <v>327</v>
      </c>
      <c r="B39" s="98" t="s">
        <v>351</v>
      </c>
      <c r="C39" s="98" t="s">
        <v>329</v>
      </c>
      <c r="D39" s="98" t="s">
        <v>330</v>
      </c>
    </row>
    <row r="40" spans="1:13" x14ac:dyDescent="0.25">
      <c r="A40" s="98">
        <v>1</v>
      </c>
      <c r="B40" s="98" t="s">
        <v>342</v>
      </c>
      <c r="C40" s="98">
        <v>150</v>
      </c>
      <c r="D40" s="98">
        <v>179.8</v>
      </c>
    </row>
    <row r="41" spans="1:13" x14ac:dyDescent="0.25">
      <c r="A41" s="98">
        <v>2</v>
      </c>
      <c r="B41" s="98" t="s">
        <v>340</v>
      </c>
      <c r="C41" s="98">
        <v>179.8</v>
      </c>
      <c r="D41" s="98">
        <v>209.60000000000002</v>
      </c>
    </row>
    <row r="42" spans="1:13" x14ac:dyDescent="0.25">
      <c r="A42" s="98">
        <v>3</v>
      </c>
      <c r="B42" s="98" t="s">
        <v>339</v>
      </c>
      <c r="C42" s="98">
        <v>209.60000000000002</v>
      </c>
      <c r="D42" s="98">
        <v>239.40000000000003</v>
      </c>
    </row>
    <row r="43" spans="1:13" x14ac:dyDescent="0.25">
      <c r="A43" s="98">
        <v>4</v>
      </c>
      <c r="B43" s="98" t="s">
        <v>335</v>
      </c>
      <c r="C43" s="98">
        <v>239.40000000000003</v>
      </c>
      <c r="D43" s="98">
        <v>269.20000000000005</v>
      </c>
    </row>
    <row r="44" spans="1:13" x14ac:dyDescent="0.25">
      <c r="A44" s="98">
        <v>5</v>
      </c>
      <c r="B44" s="98" t="s">
        <v>336</v>
      </c>
      <c r="C44" s="98">
        <v>269.20000000000005</v>
      </c>
      <c r="D44" s="98">
        <v>299.00000000000006</v>
      </c>
    </row>
    <row r="46" spans="1:13" x14ac:dyDescent="0.25">
      <c r="A46" s="98" t="s">
        <v>408</v>
      </c>
      <c r="B46" s="98" t="s">
        <v>418</v>
      </c>
      <c r="C46" s="98" t="s">
        <v>409</v>
      </c>
    </row>
    <row r="47" spans="1:13" x14ac:dyDescent="0.25">
      <c r="A47" s="98">
        <v>2016</v>
      </c>
      <c r="B47" s="98">
        <v>226</v>
      </c>
      <c r="C47" s="98" t="str">
        <f>IF(B47&lt;=$D$40,"muy bajo",IF(B47&lt;=$D$41,"bajo",IF(B47&lt;=$D$42,"medio",IF(B47&lt;=$D$43,"alto",IF(B47&lt;=$D$44,"muy alto")))))</f>
        <v>medio</v>
      </c>
      <c r="D47" s="282"/>
      <c r="E47" s="276"/>
      <c r="F47" s="276"/>
      <c r="G47" s="276"/>
      <c r="H47" s="276"/>
      <c r="I47" s="276"/>
      <c r="J47" s="276"/>
      <c r="K47" s="276"/>
      <c r="L47" s="276"/>
      <c r="M47" s="276"/>
    </row>
    <row r="48" spans="1:13" x14ac:dyDescent="0.25">
      <c r="A48" s="98">
        <v>2017</v>
      </c>
      <c r="B48" s="98">
        <v>291</v>
      </c>
      <c r="C48" s="98" t="str">
        <f t="shared" ref="C48:C55" si="3">IF(B48&lt;=$D$40,"muy bajo",IF(B48&lt;=$D$41,"bajo",IF(B48&lt;=$D$42,"medio",IF(B48&lt;=$D$43,"alto",IF(B48&lt;=$D$44,"muy alto")))))</f>
        <v>muy alto</v>
      </c>
    </row>
    <row r="49" spans="1:4" x14ac:dyDescent="0.25">
      <c r="A49" s="98">
        <v>2018</v>
      </c>
      <c r="B49" s="98">
        <v>237</v>
      </c>
      <c r="C49" s="98" t="str">
        <f t="shared" si="3"/>
        <v>medio</v>
      </c>
    </row>
    <row r="50" spans="1:4" x14ac:dyDescent="0.25">
      <c r="A50" s="98">
        <v>2019</v>
      </c>
      <c r="B50" s="98">
        <v>195</v>
      </c>
      <c r="C50" s="98" t="str">
        <f t="shared" si="3"/>
        <v>bajo</v>
      </c>
    </row>
    <row r="51" spans="1:4" x14ac:dyDescent="0.25">
      <c r="A51" s="98">
        <v>2020</v>
      </c>
      <c r="B51" s="98">
        <v>272</v>
      </c>
      <c r="C51" s="98" t="str">
        <f t="shared" si="3"/>
        <v>muy alto</v>
      </c>
    </row>
    <row r="52" spans="1:4" x14ac:dyDescent="0.25">
      <c r="A52" s="98">
        <v>2021</v>
      </c>
      <c r="B52" s="98">
        <v>172</v>
      </c>
      <c r="C52" s="98" t="str">
        <f t="shared" si="3"/>
        <v>muy bajo</v>
      </c>
    </row>
    <row r="53" spans="1:4" x14ac:dyDescent="0.25">
      <c r="A53" s="98">
        <v>2022</v>
      </c>
      <c r="B53" s="98">
        <v>251</v>
      </c>
      <c r="C53" s="98" t="str">
        <f t="shared" si="3"/>
        <v>alto</v>
      </c>
    </row>
    <row r="54" spans="1:4" x14ac:dyDescent="0.25">
      <c r="A54" s="98">
        <v>2023</v>
      </c>
      <c r="B54" s="98">
        <v>298</v>
      </c>
      <c r="C54" s="98" t="str">
        <f t="shared" si="3"/>
        <v>muy alto</v>
      </c>
    </row>
    <row r="55" spans="1:4" x14ac:dyDescent="0.25">
      <c r="A55" s="98">
        <v>2024</v>
      </c>
      <c r="B55" s="98">
        <v>186</v>
      </c>
      <c r="C55" s="98" t="str">
        <f t="shared" si="3"/>
        <v>bajo</v>
      </c>
    </row>
    <row r="58" spans="1:4" x14ac:dyDescent="0.25">
      <c r="A58" s="98" t="s">
        <v>327</v>
      </c>
      <c r="B58" s="98" t="s">
        <v>351</v>
      </c>
      <c r="C58" s="98" t="s">
        <v>329</v>
      </c>
      <c r="D58" s="98" t="s">
        <v>330</v>
      </c>
    </row>
    <row r="59" spans="1:4" x14ac:dyDescent="0.25">
      <c r="A59" s="98">
        <v>1</v>
      </c>
      <c r="B59" s="98" t="s">
        <v>342</v>
      </c>
      <c r="C59" s="98">
        <v>21</v>
      </c>
      <c r="D59" s="98">
        <v>32.799999999999997</v>
      </c>
    </row>
    <row r="60" spans="1:4" x14ac:dyDescent="0.25">
      <c r="A60" s="98">
        <v>2</v>
      </c>
      <c r="B60" s="98" t="s">
        <v>340</v>
      </c>
      <c r="C60" s="98">
        <v>32.799999999999997</v>
      </c>
      <c r="D60" s="98">
        <v>44.599999999999994</v>
      </c>
    </row>
    <row r="61" spans="1:4" x14ac:dyDescent="0.25">
      <c r="A61" s="98">
        <v>3</v>
      </c>
      <c r="B61" s="98" t="s">
        <v>339</v>
      </c>
      <c r="C61" s="98">
        <v>44.599999999999994</v>
      </c>
      <c r="D61" s="98">
        <v>56.399999999999991</v>
      </c>
    </row>
    <row r="62" spans="1:4" x14ac:dyDescent="0.25">
      <c r="A62" s="98">
        <v>4</v>
      </c>
      <c r="B62" s="98" t="s">
        <v>335</v>
      </c>
      <c r="C62" s="98">
        <v>56.399999999999991</v>
      </c>
      <c r="D62" s="98">
        <v>68.199999999999989</v>
      </c>
    </row>
    <row r="63" spans="1:4" x14ac:dyDescent="0.25">
      <c r="A63" s="98">
        <v>5</v>
      </c>
      <c r="B63" s="98" t="s">
        <v>336</v>
      </c>
      <c r="C63" s="98">
        <v>68.199999999999989</v>
      </c>
      <c r="D63" s="98">
        <v>79.999999999999986</v>
      </c>
    </row>
    <row r="65" spans="1:14" x14ac:dyDescent="0.25">
      <c r="A65" s="98" t="s">
        <v>408</v>
      </c>
      <c r="B65" s="98" t="s">
        <v>419</v>
      </c>
      <c r="C65" s="98" t="s">
        <v>409</v>
      </c>
    </row>
    <row r="66" spans="1:14" x14ac:dyDescent="0.25">
      <c r="A66" s="98">
        <v>2016</v>
      </c>
      <c r="B66" s="98">
        <v>80</v>
      </c>
      <c r="C66" s="98" t="str">
        <f>IF(B66&lt;=$D$59,"muy bajo",IF(B66&lt;=$D$60,"bajo",IF(B66&lt;=D61,"medio",IF(B66&lt;=$D$62,"alto",IF(B66&lt;=$D$63,"muy alto")))))</f>
        <v>muy alto</v>
      </c>
      <c r="D66" s="282"/>
      <c r="E66" s="276"/>
      <c r="F66" s="276"/>
      <c r="G66" s="276"/>
      <c r="H66" s="276"/>
      <c r="I66" s="276"/>
      <c r="J66" s="276"/>
      <c r="K66" s="276"/>
      <c r="L66" s="276"/>
      <c r="M66" s="276"/>
      <c r="N66" s="276"/>
    </row>
    <row r="67" spans="1:14" x14ac:dyDescent="0.25">
      <c r="A67" s="98">
        <v>2017</v>
      </c>
      <c r="B67" s="98">
        <v>23</v>
      </c>
      <c r="C67" s="98" t="str">
        <f t="shared" ref="C67:C74" si="4">IF(B67&lt;=$D$59,"muy bajo",IF(B67&lt;=$D$60,"bajo",IF(B67&lt;=D62,"medio",IF(B67&lt;=$D$62,"alto",IF(B67&lt;=$D$63,"muy alto")))))</f>
        <v>muy bajo</v>
      </c>
    </row>
    <row r="68" spans="1:14" x14ac:dyDescent="0.25">
      <c r="A68" s="98">
        <v>2018</v>
      </c>
      <c r="B68" s="98">
        <v>22</v>
      </c>
      <c r="C68" s="98" t="str">
        <f t="shared" si="4"/>
        <v>muy bajo</v>
      </c>
    </row>
    <row r="69" spans="1:14" x14ac:dyDescent="0.25">
      <c r="A69" s="98">
        <v>2019</v>
      </c>
      <c r="B69" s="98">
        <v>64</v>
      </c>
      <c r="C69" s="98" t="str">
        <f t="shared" si="4"/>
        <v>alto</v>
      </c>
    </row>
    <row r="70" spans="1:14" x14ac:dyDescent="0.25">
      <c r="A70" s="98">
        <v>2020</v>
      </c>
      <c r="B70" s="98">
        <v>54</v>
      </c>
      <c r="C70" s="98" t="str">
        <f t="shared" si="4"/>
        <v>alto</v>
      </c>
    </row>
    <row r="71" spans="1:14" x14ac:dyDescent="0.25">
      <c r="A71" s="98">
        <v>2021</v>
      </c>
      <c r="B71" s="98">
        <v>40</v>
      </c>
      <c r="C71" s="98" t="str">
        <f t="shared" si="4"/>
        <v>bajo</v>
      </c>
    </row>
    <row r="72" spans="1:14" x14ac:dyDescent="0.25">
      <c r="A72" s="98">
        <v>2022</v>
      </c>
      <c r="B72" s="98">
        <v>36</v>
      </c>
      <c r="C72" s="98" t="str">
        <f t="shared" si="4"/>
        <v>bajo</v>
      </c>
    </row>
    <row r="73" spans="1:14" x14ac:dyDescent="0.25">
      <c r="A73" s="98">
        <v>2023</v>
      </c>
      <c r="B73" s="98">
        <v>41</v>
      </c>
      <c r="C73" s="98" t="str">
        <f t="shared" si="4"/>
        <v>bajo</v>
      </c>
    </row>
    <row r="74" spans="1:14" x14ac:dyDescent="0.25">
      <c r="A74" s="98">
        <v>2024</v>
      </c>
      <c r="B74" s="98">
        <v>58</v>
      </c>
      <c r="C74" s="98" t="str">
        <f t="shared" si="4"/>
        <v>alto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R4:U16"/>
  <sheetViews>
    <sheetView zoomScale="75" zoomScaleNormal="75" workbookViewId="0">
      <selection activeCell="T22" sqref="T22"/>
    </sheetView>
  </sheetViews>
  <sheetFormatPr baseColWidth="10" defaultRowHeight="15" x14ac:dyDescent="0.25"/>
  <cols>
    <col min="10" max="10" width="5.42578125" customWidth="1"/>
  </cols>
  <sheetData>
    <row r="4" spans="18:21" x14ac:dyDescent="0.25">
      <c r="R4" s="565" t="s">
        <v>389</v>
      </c>
      <c r="S4" s="565"/>
      <c r="T4" s="565"/>
      <c r="U4" s="565"/>
    </row>
    <row r="5" spans="18:21" x14ac:dyDescent="0.25">
      <c r="R5" s="565"/>
      <c r="S5" s="565"/>
      <c r="T5" s="565"/>
      <c r="U5" s="565"/>
    </row>
    <row r="6" spans="18:21" x14ac:dyDescent="0.25">
      <c r="R6" s="565"/>
      <c r="S6" s="565"/>
      <c r="T6" s="565"/>
      <c r="U6" s="565"/>
    </row>
    <row r="7" spans="18:21" x14ac:dyDescent="0.25">
      <c r="R7" s="565"/>
      <c r="S7" s="565"/>
      <c r="T7" s="565"/>
      <c r="U7" s="565"/>
    </row>
    <row r="8" spans="18:21" x14ac:dyDescent="0.25">
      <c r="R8" s="565"/>
      <c r="S8" s="565"/>
      <c r="T8" s="565"/>
      <c r="U8" s="565"/>
    </row>
    <row r="9" spans="18:21" x14ac:dyDescent="0.25">
      <c r="R9" s="565"/>
      <c r="S9" s="565"/>
      <c r="T9" s="565"/>
      <c r="U9" s="565"/>
    </row>
    <row r="10" spans="18:21" x14ac:dyDescent="0.25">
      <c r="R10" s="565"/>
      <c r="S10" s="565"/>
      <c r="T10" s="565"/>
      <c r="U10" s="565"/>
    </row>
    <row r="11" spans="18:21" x14ac:dyDescent="0.25">
      <c r="R11" s="565"/>
      <c r="S11" s="565"/>
      <c r="T11" s="565"/>
      <c r="U11" s="565"/>
    </row>
    <row r="12" spans="18:21" x14ac:dyDescent="0.25">
      <c r="R12" s="565"/>
      <c r="S12" s="565"/>
      <c r="T12" s="565"/>
      <c r="U12" s="565"/>
    </row>
    <row r="14" spans="18:21" ht="18.75" x14ac:dyDescent="0.3">
      <c r="S14" s="566" t="s">
        <v>262</v>
      </c>
      <c r="T14" s="566"/>
      <c r="U14" s="268" t="s">
        <v>393</v>
      </c>
    </row>
    <row r="15" spans="18:21" ht="18.75" x14ac:dyDescent="0.3">
      <c r="S15" s="566" t="s">
        <v>358</v>
      </c>
      <c r="T15" s="566"/>
      <c r="U15" s="268" t="s">
        <v>395</v>
      </c>
    </row>
    <row r="16" spans="18:21" ht="18.75" x14ac:dyDescent="0.3">
      <c r="S16" s="566" t="s">
        <v>392</v>
      </c>
      <c r="T16" s="566"/>
      <c r="U16" s="268" t="s">
        <v>396</v>
      </c>
    </row>
  </sheetData>
  <mergeCells count="4">
    <mergeCell ref="R4:U12"/>
    <mergeCell ref="S14:T14"/>
    <mergeCell ref="S15:T15"/>
    <mergeCell ref="S16:T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6"/>
  <sheetViews>
    <sheetView workbookViewId="0">
      <selection activeCell="K42" sqref="K42"/>
    </sheetView>
  </sheetViews>
  <sheetFormatPr baseColWidth="10" defaultRowHeight="15" x14ac:dyDescent="0.25"/>
  <cols>
    <col min="1" max="1" width="6.140625" style="135" bestFit="1" customWidth="1"/>
    <col min="2" max="2" width="11" style="135" bestFit="1" customWidth="1"/>
    <col min="3" max="3" width="12.28515625" style="135" bestFit="1" customWidth="1"/>
    <col min="4" max="12" width="11.42578125" style="135"/>
    <col min="13" max="13" width="13.42578125" style="135" bestFit="1" customWidth="1"/>
    <col min="14" max="16384" width="11.42578125" style="135"/>
  </cols>
  <sheetData>
    <row r="1" spans="1:16" x14ac:dyDescent="0.25">
      <c r="A1" s="98"/>
      <c r="B1" s="98" t="s">
        <v>358</v>
      </c>
      <c r="C1" s="98" t="s">
        <v>354</v>
      </c>
    </row>
    <row r="2" spans="1:16" ht="15.75" x14ac:dyDescent="0.25">
      <c r="A2" s="98"/>
      <c r="B2" s="240">
        <v>0.13</v>
      </c>
      <c r="C2" s="240">
        <v>0.3364485981308411</v>
      </c>
      <c r="J2" s="239" t="s">
        <v>367</v>
      </c>
      <c r="K2" s="239" t="s">
        <v>362</v>
      </c>
    </row>
    <row r="3" spans="1:16" x14ac:dyDescent="0.25">
      <c r="A3" s="98"/>
      <c r="B3" s="240">
        <v>0.10333333333333333</v>
      </c>
      <c r="C3" s="240">
        <v>0.24299065420560748</v>
      </c>
      <c r="J3" s="98" t="s">
        <v>363</v>
      </c>
      <c r="K3" s="240">
        <v>2.3999999999999998E-3</v>
      </c>
    </row>
    <row r="4" spans="1:16" x14ac:dyDescent="0.25">
      <c r="A4" s="98"/>
      <c r="B4" s="240">
        <v>0.06</v>
      </c>
      <c r="C4" s="240">
        <v>9.3457943925233641E-2</v>
      </c>
      <c r="J4" s="98" t="s">
        <v>364</v>
      </c>
      <c r="K4" s="240">
        <v>0.2452</v>
      </c>
    </row>
    <row r="5" spans="1:16" x14ac:dyDescent="0.25">
      <c r="A5" s="98"/>
      <c r="B5" s="240">
        <v>0.21</v>
      </c>
      <c r="C5" s="240">
        <v>0.15887850467289719</v>
      </c>
      <c r="J5" s="186" t="s">
        <v>365</v>
      </c>
      <c r="K5" s="266">
        <v>0.57499999999999996</v>
      </c>
      <c r="L5" s="567" t="s">
        <v>368</v>
      </c>
      <c r="M5" s="567"/>
      <c r="N5" s="567"/>
      <c r="O5" s="567"/>
      <c r="P5" s="567"/>
    </row>
    <row r="6" spans="1:16" x14ac:dyDescent="0.25">
      <c r="A6" s="98"/>
      <c r="B6" s="240">
        <v>0.19</v>
      </c>
      <c r="C6" s="240">
        <v>0.16822429906542055</v>
      </c>
      <c r="J6" s="98" t="s">
        <v>366</v>
      </c>
      <c r="K6" s="240">
        <v>7.3000000000000001E-3</v>
      </c>
    </row>
    <row r="7" spans="1:16" x14ac:dyDescent="0.25">
      <c r="B7" s="238"/>
      <c r="C7" s="238"/>
    </row>
    <row r="9" spans="1:16" x14ac:dyDescent="0.25">
      <c r="K9" s="565" t="s">
        <v>388</v>
      </c>
      <c r="L9" s="565"/>
      <c r="M9" s="565"/>
      <c r="N9" s="565"/>
    </row>
    <row r="10" spans="1:16" x14ac:dyDescent="0.25">
      <c r="K10" s="565"/>
      <c r="L10" s="565"/>
      <c r="M10" s="565"/>
      <c r="N10" s="565"/>
    </row>
    <row r="11" spans="1:16" x14ac:dyDescent="0.25">
      <c r="K11" s="565"/>
      <c r="L11" s="565"/>
      <c r="M11" s="565"/>
      <c r="N11" s="565"/>
    </row>
    <row r="12" spans="1:16" x14ac:dyDescent="0.25">
      <c r="K12" s="565"/>
      <c r="L12" s="565"/>
      <c r="M12" s="565"/>
      <c r="N12" s="565"/>
    </row>
    <row r="13" spans="1:16" x14ac:dyDescent="0.25">
      <c r="K13" s="565"/>
      <c r="L13" s="565"/>
      <c r="M13" s="565"/>
      <c r="N13" s="565"/>
    </row>
    <row r="14" spans="1:16" x14ac:dyDescent="0.25">
      <c r="K14" s="565"/>
      <c r="L14" s="565"/>
      <c r="M14" s="565"/>
      <c r="N14" s="565"/>
    </row>
    <row r="15" spans="1:16" x14ac:dyDescent="0.25">
      <c r="A15" s="98"/>
      <c r="B15" s="209" t="s">
        <v>358</v>
      </c>
      <c r="C15" s="209" t="s">
        <v>355</v>
      </c>
      <c r="K15" s="565"/>
      <c r="L15" s="565"/>
      <c r="M15" s="565"/>
      <c r="N15" s="565"/>
    </row>
    <row r="16" spans="1:16" x14ac:dyDescent="0.25">
      <c r="A16" s="98"/>
      <c r="B16" s="240">
        <v>0.13</v>
      </c>
      <c r="C16" s="240">
        <v>0.17592592592592593</v>
      </c>
      <c r="K16" s="565"/>
      <c r="L16" s="565"/>
      <c r="M16" s="565"/>
      <c r="N16" s="565"/>
    </row>
    <row r="17" spans="1:14" x14ac:dyDescent="0.25">
      <c r="A17" s="98"/>
      <c r="B17" s="240">
        <v>0.10333333333333333</v>
      </c>
      <c r="C17" s="240">
        <v>0.21296296296296297</v>
      </c>
      <c r="K17" s="565"/>
      <c r="L17" s="565"/>
      <c r="M17" s="565"/>
      <c r="N17" s="565"/>
    </row>
    <row r="18" spans="1:14" x14ac:dyDescent="0.25">
      <c r="A18" s="98"/>
      <c r="B18" s="240">
        <v>0.06</v>
      </c>
      <c r="C18" s="240">
        <v>0.14814814814814814</v>
      </c>
    </row>
    <row r="19" spans="1:14" x14ac:dyDescent="0.25">
      <c r="A19" s="98"/>
      <c r="B19" s="240">
        <v>0.21</v>
      </c>
      <c r="C19" s="240">
        <v>0.17592592592592593</v>
      </c>
      <c r="L19" s="267" t="s">
        <v>393</v>
      </c>
      <c r="M19" s="267" t="s">
        <v>358</v>
      </c>
    </row>
    <row r="20" spans="1:14" x14ac:dyDescent="0.25">
      <c r="A20" s="98"/>
      <c r="B20" s="240">
        <v>0.19</v>
      </c>
      <c r="C20" s="240">
        <v>0.28703703703703703</v>
      </c>
      <c r="L20" s="267" t="s">
        <v>394</v>
      </c>
      <c r="M20" s="267" t="s">
        <v>392</v>
      </c>
    </row>
    <row r="21" spans="1:14" x14ac:dyDescent="0.25">
      <c r="B21" s="238"/>
      <c r="C21" s="238"/>
    </row>
    <row r="28" spans="1:14" x14ac:dyDescent="0.25">
      <c r="A28" s="98"/>
      <c r="B28" s="209" t="s">
        <v>358</v>
      </c>
      <c r="C28" s="209" t="s">
        <v>356</v>
      </c>
    </row>
    <row r="29" spans="1:14" x14ac:dyDescent="0.25">
      <c r="A29" s="98"/>
      <c r="B29" s="240">
        <v>0.13</v>
      </c>
      <c r="C29" s="240">
        <v>0.17592592592592593</v>
      </c>
    </row>
    <row r="30" spans="1:14" x14ac:dyDescent="0.25">
      <c r="A30" s="98"/>
      <c r="B30" s="240">
        <v>0.10333333333333333</v>
      </c>
      <c r="C30" s="240">
        <v>0.19444444444444445</v>
      </c>
    </row>
    <row r="31" spans="1:14" x14ac:dyDescent="0.25">
      <c r="A31" s="98"/>
      <c r="B31" s="240">
        <v>0.06</v>
      </c>
      <c r="C31" s="240">
        <v>0.28703703703703703</v>
      </c>
    </row>
    <row r="32" spans="1:14" x14ac:dyDescent="0.25">
      <c r="A32" s="98"/>
      <c r="B32" s="240">
        <v>0.21</v>
      </c>
      <c r="C32" s="240">
        <v>0.12962962962962962</v>
      </c>
    </row>
    <row r="33" spans="1:3" x14ac:dyDescent="0.25">
      <c r="A33" s="98"/>
      <c r="B33" s="240">
        <v>0.19</v>
      </c>
      <c r="C33" s="240">
        <v>0.21296296296296297</v>
      </c>
    </row>
    <row r="34" spans="1:3" x14ac:dyDescent="0.25">
      <c r="B34" s="238"/>
      <c r="C34" s="238"/>
    </row>
    <row r="41" spans="1:3" x14ac:dyDescent="0.25">
      <c r="A41" s="98"/>
      <c r="B41" s="209" t="s">
        <v>358</v>
      </c>
      <c r="C41" s="209" t="s">
        <v>357</v>
      </c>
    </row>
    <row r="42" spans="1:3" x14ac:dyDescent="0.25">
      <c r="A42" s="98"/>
      <c r="B42" s="240">
        <v>0.13</v>
      </c>
      <c r="C42" s="240">
        <v>0.15238095238095239</v>
      </c>
    </row>
    <row r="43" spans="1:3" x14ac:dyDescent="0.25">
      <c r="A43" s="98"/>
      <c r="B43" s="240">
        <v>0.10333333333333333</v>
      </c>
      <c r="C43" s="240">
        <v>0.19047619047619047</v>
      </c>
    </row>
    <row r="44" spans="1:3" x14ac:dyDescent="0.25">
      <c r="A44" s="98"/>
      <c r="B44" s="240">
        <v>0.06</v>
      </c>
      <c r="C44" s="240">
        <v>0.24761904761904763</v>
      </c>
    </row>
    <row r="45" spans="1:3" x14ac:dyDescent="0.25">
      <c r="A45" s="98"/>
      <c r="B45" s="240">
        <v>0.21</v>
      </c>
      <c r="C45" s="240">
        <v>0.26666666666666666</v>
      </c>
    </row>
    <row r="46" spans="1:3" x14ac:dyDescent="0.25">
      <c r="A46" s="98"/>
      <c r="B46" s="240">
        <v>0.19</v>
      </c>
      <c r="C46" s="240">
        <v>0.14285714285714285</v>
      </c>
    </row>
  </sheetData>
  <mergeCells count="2">
    <mergeCell ref="L5:P5"/>
    <mergeCell ref="K9:N1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69"/>
  <sheetViews>
    <sheetView zoomScale="73" zoomScaleNormal="73" workbookViewId="0">
      <selection activeCell="O12" sqref="O12"/>
    </sheetView>
  </sheetViews>
  <sheetFormatPr baseColWidth="10" defaultRowHeight="15" x14ac:dyDescent="0.25"/>
  <cols>
    <col min="1" max="1" width="9.140625" style="135" bestFit="1" customWidth="1"/>
    <col min="2" max="2" width="14.28515625" style="135" bestFit="1" customWidth="1"/>
    <col min="3" max="3" width="16.140625" style="135" bestFit="1" customWidth="1"/>
    <col min="4" max="7" width="11.42578125" style="135"/>
    <col min="8" max="8" width="17.7109375" style="135" bestFit="1" customWidth="1"/>
    <col min="9" max="10" width="11.42578125" style="135"/>
    <col min="11" max="11" width="13.7109375" style="135" bestFit="1" customWidth="1"/>
    <col min="12" max="12" width="26.42578125" style="135" customWidth="1"/>
    <col min="13" max="13" width="15.28515625" style="135" bestFit="1" customWidth="1"/>
    <col min="14" max="14" width="13.140625" style="135" customWidth="1"/>
    <col min="15" max="15" width="14.42578125" style="135" customWidth="1"/>
    <col min="16" max="17" width="11.42578125" style="135"/>
    <col min="18" max="18" width="18.7109375" style="135" bestFit="1" customWidth="1"/>
    <col min="19" max="19" width="20.7109375" style="135" bestFit="1" customWidth="1"/>
    <col min="20" max="20" width="12.85546875" style="135" customWidth="1"/>
    <col min="21" max="16384" width="11.42578125" style="135"/>
  </cols>
  <sheetData>
    <row r="1" spans="1:30" ht="18.75" x14ac:dyDescent="0.3">
      <c r="A1" s="245" t="s">
        <v>45</v>
      </c>
      <c r="B1" s="245" t="s">
        <v>358</v>
      </c>
      <c r="C1" s="245" t="s">
        <v>354</v>
      </c>
      <c r="R1" s="243" t="s">
        <v>375</v>
      </c>
    </row>
    <row r="2" spans="1:30" ht="18.75" x14ac:dyDescent="0.3">
      <c r="A2" s="245">
        <v>2016</v>
      </c>
      <c r="B2" s="246">
        <v>0.13</v>
      </c>
      <c r="C2" s="246">
        <v>0.3364485981308411</v>
      </c>
      <c r="Q2" s="242" t="s">
        <v>371</v>
      </c>
      <c r="R2" s="64"/>
      <c r="S2" s="64"/>
      <c r="T2" s="64"/>
      <c r="U2" s="64"/>
      <c r="V2" s="64"/>
    </row>
    <row r="3" spans="1:30" ht="21" x14ac:dyDescent="0.35">
      <c r="A3" s="245">
        <v>2018</v>
      </c>
      <c r="B3" s="246">
        <v>0.10333333333333333</v>
      </c>
      <c r="C3" s="246">
        <v>0.24299065420560748</v>
      </c>
      <c r="K3" s="239" t="s">
        <v>384</v>
      </c>
      <c r="L3" s="239" t="s">
        <v>362</v>
      </c>
      <c r="P3" s="64" t="s">
        <v>378</v>
      </c>
      <c r="Q3" s="250">
        <f>B7</f>
        <v>13.866666666666665</v>
      </c>
      <c r="R3" s="241">
        <f>Q3/100</f>
        <v>0.13866666666666666</v>
      </c>
      <c r="S3" s="244" t="s">
        <v>383</v>
      </c>
      <c r="T3" s="64"/>
      <c r="U3" s="64"/>
      <c r="V3" s="64"/>
    </row>
    <row r="4" spans="1:30" ht="18.75" x14ac:dyDescent="0.3">
      <c r="A4" s="245">
        <v>2020</v>
      </c>
      <c r="B4" s="246">
        <v>0.06</v>
      </c>
      <c r="C4" s="246">
        <v>9.3457943925233641E-2</v>
      </c>
      <c r="K4" s="245" t="s">
        <v>363</v>
      </c>
      <c r="L4" s="252">
        <v>0.87029999999999996</v>
      </c>
      <c r="M4" s="526" t="s">
        <v>369</v>
      </c>
      <c r="N4" s="526"/>
      <c r="O4" s="526"/>
      <c r="Q4" s="64"/>
      <c r="R4" s="64"/>
      <c r="S4" s="64"/>
      <c r="T4" s="64"/>
      <c r="U4" s="64"/>
      <c r="V4" s="64"/>
      <c r="X4"/>
      <c r="Y4"/>
      <c r="Z4"/>
      <c r="AA4"/>
      <c r="AB4"/>
      <c r="AC4"/>
      <c r="AD4"/>
    </row>
    <row r="5" spans="1:30" ht="18.75" x14ac:dyDescent="0.3">
      <c r="A5" s="245">
        <v>2022</v>
      </c>
      <c r="B5" s="246">
        <v>0.21</v>
      </c>
      <c r="C5" s="246">
        <v>0.15887850467289719</v>
      </c>
      <c r="K5" s="245" t="s">
        <v>364</v>
      </c>
      <c r="L5" s="252">
        <v>0.35820000000000002</v>
      </c>
      <c r="M5" s="526" t="s">
        <v>369</v>
      </c>
      <c r="N5" s="526"/>
      <c r="O5" s="526"/>
      <c r="Q5" s="242" t="s">
        <v>370</v>
      </c>
      <c r="R5" s="64"/>
      <c r="S5" s="64"/>
      <c r="T5" s="243" t="s">
        <v>376</v>
      </c>
      <c r="U5" s="243" t="s">
        <v>377</v>
      </c>
      <c r="V5" s="64"/>
      <c r="X5"/>
      <c r="Y5"/>
      <c r="Z5"/>
      <c r="AA5"/>
      <c r="AB5"/>
      <c r="AC5"/>
      <c r="AD5"/>
    </row>
    <row r="6" spans="1:30" ht="21" x14ac:dyDescent="0.35">
      <c r="A6" s="245">
        <v>2024</v>
      </c>
      <c r="B6" s="246">
        <v>0.19</v>
      </c>
      <c r="C6" s="246">
        <v>0.16822429906542055</v>
      </c>
      <c r="K6" s="245" t="s">
        <v>365</v>
      </c>
      <c r="L6" s="252">
        <v>0.67030000000000001</v>
      </c>
      <c r="M6" s="526" t="s">
        <v>369</v>
      </c>
      <c r="N6" s="526"/>
      <c r="O6" s="526"/>
      <c r="Q6" s="251">
        <f>-33.815*(R3^2)+9.3772*R3-0.3471</f>
        <v>0.30299521777777788</v>
      </c>
      <c r="R6" s="568" t="s">
        <v>379</v>
      </c>
      <c r="S6" s="568"/>
      <c r="T6" s="568"/>
      <c r="U6" s="568"/>
      <c r="V6" s="568"/>
      <c r="X6"/>
      <c r="Y6"/>
      <c r="Z6"/>
      <c r="AA6"/>
      <c r="AB6"/>
      <c r="AC6"/>
      <c r="AD6"/>
    </row>
    <row r="7" spans="1:30" ht="18.75" x14ac:dyDescent="0.3">
      <c r="A7" s="248" t="s">
        <v>348</v>
      </c>
      <c r="B7" s="249">
        <f>AVERAGE(B2:B6)*100</f>
        <v>13.866666666666665</v>
      </c>
      <c r="C7" s="238"/>
      <c r="K7" s="245" t="s">
        <v>366</v>
      </c>
      <c r="L7" s="252">
        <v>0.67720000000000002</v>
      </c>
      <c r="M7" s="526" t="s">
        <v>369</v>
      </c>
      <c r="N7" s="526"/>
      <c r="O7" s="526"/>
      <c r="R7" s="243"/>
      <c r="X7"/>
      <c r="Y7"/>
      <c r="Z7"/>
      <c r="AA7"/>
      <c r="AB7"/>
      <c r="AC7"/>
      <c r="AD7"/>
    </row>
    <row r="8" spans="1:30" x14ac:dyDescent="0.25">
      <c r="B8" s="238"/>
      <c r="C8" s="238"/>
      <c r="X8"/>
      <c r="Y8"/>
      <c r="Z8"/>
      <c r="AA8"/>
      <c r="AB8"/>
      <c r="AC8"/>
      <c r="AD8"/>
    </row>
    <row r="9" spans="1:30" x14ac:dyDescent="0.25">
      <c r="B9" s="238"/>
      <c r="C9" s="238"/>
      <c r="X9"/>
      <c r="Y9"/>
      <c r="Z9"/>
      <c r="AA9"/>
      <c r="AB9"/>
      <c r="AC9"/>
      <c r="AD9"/>
    </row>
    <row r="10" spans="1:30" x14ac:dyDescent="0.25">
      <c r="B10" s="238"/>
      <c r="C10" s="238"/>
      <c r="X10"/>
      <c r="Y10"/>
      <c r="Z10"/>
      <c r="AA10"/>
      <c r="AB10"/>
      <c r="AC10"/>
      <c r="AD10"/>
    </row>
    <row r="11" spans="1:30" x14ac:dyDescent="0.25">
      <c r="B11" s="238"/>
      <c r="C11" s="238"/>
      <c r="X11"/>
      <c r="Y11"/>
      <c r="Z11"/>
      <c r="AA11"/>
      <c r="AB11"/>
      <c r="AC11"/>
      <c r="AD11"/>
    </row>
    <row r="12" spans="1:30" x14ac:dyDescent="0.25">
      <c r="B12" s="238"/>
      <c r="C12" s="238"/>
      <c r="X12"/>
      <c r="Y12"/>
      <c r="Z12"/>
      <c r="AA12"/>
      <c r="AB12"/>
      <c r="AC12"/>
      <c r="AD12"/>
    </row>
    <row r="13" spans="1:30" x14ac:dyDescent="0.25">
      <c r="B13" s="238"/>
      <c r="C13" s="238"/>
      <c r="X13"/>
      <c r="Y13"/>
      <c r="Z13"/>
      <c r="AA13"/>
      <c r="AB13"/>
      <c r="AC13"/>
      <c r="AD13"/>
    </row>
    <row r="14" spans="1:30" ht="18.75" x14ac:dyDescent="0.3">
      <c r="B14" s="238"/>
      <c r="C14" s="238"/>
      <c r="K14" s="270"/>
      <c r="L14" s="270" t="s">
        <v>416</v>
      </c>
      <c r="M14" s="270" t="s">
        <v>22</v>
      </c>
      <c r="R14" s="243" t="s">
        <v>375</v>
      </c>
      <c r="X14"/>
      <c r="Y14"/>
      <c r="Z14"/>
      <c r="AA14"/>
      <c r="AB14"/>
      <c r="AC14"/>
      <c r="AD14"/>
    </row>
    <row r="15" spans="1:30" ht="18.75" x14ac:dyDescent="0.3">
      <c r="A15" s="245" t="s">
        <v>45</v>
      </c>
      <c r="B15" s="247" t="s">
        <v>358</v>
      </c>
      <c r="C15" s="247" t="s">
        <v>355</v>
      </c>
      <c r="K15" s="270" t="s">
        <v>32</v>
      </c>
      <c r="L15" s="271">
        <f>Q3</f>
        <v>13.866666666666665</v>
      </c>
      <c r="M15" s="272">
        <f>Q6</f>
        <v>0.30299521777777788</v>
      </c>
      <c r="Q15" s="242" t="s">
        <v>372</v>
      </c>
      <c r="R15" s="64"/>
      <c r="T15" s="243" t="s">
        <v>376</v>
      </c>
      <c r="U15" s="243" t="s">
        <v>377</v>
      </c>
      <c r="X15"/>
      <c r="Y15"/>
      <c r="Z15"/>
      <c r="AA15"/>
      <c r="AB15"/>
      <c r="AC15"/>
      <c r="AD15"/>
    </row>
    <row r="16" spans="1:30" ht="21" x14ac:dyDescent="0.35">
      <c r="A16" s="245">
        <v>2016</v>
      </c>
      <c r="B16" s="246">
        <f t="shared" ref="B16:B20" si="0">B2</f>
        <v>0.13</v>
      </c>
      <c r="C16" s="246">
        <v>0.17592592592592593</v>
      </c>
      <c r="K16" s="270" t="s">
        <v>37</v>
      </c>
      <c r="L16" s="271">
        <f>Q16</f>
        <v>13.866666666666665</v>
      </c>
      <c r="M16" s="272">
        <f>Q17</f>
        <v>0.22138489372444445</v>
      </c>
      <c r="P16" s="64" t="s">
        <v>378</v>
      </c>
      <c r="Q16" s="250">
        <f>Q3</f>
        <v>13.866666666666665</v>
      </c>
      <c r="R16" s="241">
        <f>Q16/100</f>
        <v>0.13866666666666666</v>
      </c>
      <c r="S16" s="244" t="s">
        <v>383</v>
      </c>
      <c r="X16"/>
      <c r="Y16"/>
      <c r="Z16"/>
      <c r="AA16"/>
      <c r="AB16"/>
      <c r="AC16"/>
      <c r="AD16"/>
    </row>
    <row r="17" spans="1:34" ht="21" x14ac:dyDescent="0.35">
      <c r="A17" s="245">
        <v>2018</v>
      </c>
      <c r="B17" s="246">
        <f t="shared" si="0"/>
        <v>0.10333333333333333</v>
      </c>
      <c r="C17" s="246">
        <v>0.21296296296296297</v>
      </c>
      <c r="K17" s="270" t="s">
        <v>35</v>
      </c>
      <c r="L17" s="271">
        <f>Q30</f>
        <v>13.866666666666665</v>
      </c>
      <c r="M17" s="272">
        <f>Q31</f>
        <v>0.17882643626666669</v>
      </c>
      <c r="Q17" s="251">
        <f>-7.07708*(R16^2)+2.3774*R16+0.0278</f>
        <v>0.22138489372444445</v>
      </c>
      <c r="R17" s="568" t="s">
        <v>380</v>
      </c>
      <c r="S17" s="568"/>
      <c r="T17" s="568"/>
      <c r="U17" s="568"/>
      <c r="V17" s="568"/>
      <c r="X17"/>
      <c r="Y17"/>
      <c r="Z17"/>
      <c r="AA17"/>
      <c r="AB17"/>
      <c r="AC17"/>
      <c r="AD17"/>
    </row>
    <row r="18" spans="1:34" ht="19.5" thickBot="1" x14ac:dyDescent="0.35">
      <c r="A18" s="245">
        <v>2020</v>
      </c>
      <c r="B18" s="246">
        <f t="shared" si="0"/>
        <v>0.06</v>
      </c>
      <c r="C18" s="246">
        <v>0.14814814814814814</v>
      </c>
      <c r="K18" s="270" t="s">
        <v>60</v>
      </c>
      <c r="L18" s="271">
        <f>Q44</f>
        <v>13.866666666666665</v>
      </c>
      <c r="M18" s="272">
        <f>Q45</f>
        <v>0.1459113066666668</v>
      </c>
      <c r="Q18"/>
    </row>
    <row r="19" spans="1:34" ht="18.75" x14ac:dyDescent="0.3">
      <c r="A19" s="245">
        <v>2022</v>
      </c>
      <c r="B19" s="246">
        <f t="shared" si="0"/>
        <v>0.21</v>
      </c>
      <c r="C19" s="246">
        <v>0.17592592592592593</v>
      </c>
      <c r="L19" s="253"/>
      <c r="Z19" s="296"/>
      <c r="AA19" s="297"/>
      <c r="AB19" s="297"/>
      <c r="AC19" s="297"/>
      <c r="AD19" s="297"/>
      <c r="AE19" s="297"/>
      <c r="AF19" s="297"/>
      <c r="AG19" s="297"/>
      <c r="AH19" s="298"/>
    </row>
    <row r="20" spans="1:34" ht="18.75" x14ac:dyDescent="0.3">
      <c r="A20" s="245">
        <v>2024</v>
      </c>
      <c r="B20" s="246">
        <f t="shared" si="0"/>
        <v>0.19</v>
      </c>
      <c r="C20" s="246">
        <v>0.28703703703703703</v>
      </c>
      <c r="L20" s="253"/>
      <c r="Z20" s="299"/>
      <c r="AA20" s="294"/>
      <c r="AB20" s="294"/>
      <c r="AC20" s="294"/>
      <c r="AD20" s="294" t="s">
        <v>420</v>
      </c>
      <c r="AE20" s="294"/>
      <c r="AF20" s="294"/>
      <c r="AG20" s="294"/>
      <c r="AH20" s="300"/>
    </row>
    <row r="21" spans="1:34" ht="18.75" x14ac:dyDescent="0.3">
      <c r="B21" s="238"/>
      <c r="C21" s="238"/>
      <c r="L21" s="253"/>
      <c r="Z21" s="299"/>
      <c r="AA21" s="294"/>
      <c r="AB21" s="294"/>
      <c r="AC21" s="294"/>
      <c r="AD21" s="294" t="s">
        <v>421</v>
      </c>
      <c r="AE21" s="294"/>
      <c r="AF21" s="294"/>
      <c r="AG21" s="294"/>
      <c r="AH21" s="300"/>
    </row>
    <row r="22" spans="1:34" ht="18.75" x14ac:dyDescent="0.3">
      <c r="B22" s="238"/>
      <c r="C22" s="238"/>
      <c r="L22" s="253"/>
      <c r="Z22" s="299"/>
      <c r="AA22" s="294"/>
      <c r="AB22" s="294"/>
      <c r="AC22" s="294"/>
      <c r="AD22" s="294" t="s">
        <v>422</v>
      </c>
      <c r="AE22" s="294"/>
      <c r="AF22" s="294"/>
      <c r="AG22" s="294"/>
      <c r="AH22" s="300"/>
    </row>
    <row r="23" spans="1:34" ht="18.75" x14ac:dyDescent="0.3">
      <c r="B23" s="238"/>
      <c r="C23" s="238"/>
      <c r="L23" s="253"/>
      <c r="Z23" s="299"/>
      <c r="AA23" s="294"/>
      <c r="AB23" s="294"/>
      <c r="AC23" s="294"/>
      <c r="AD23" s="294" t="s">
        <v>423</v>
      </c>
      <c r="AE23" s="294"/>
      <c r="AF23" s="294"/>
      <c r="AG23" s="294"/>
      <c r="AH23" s="300"/>
    </row>
    <row r="24" spans="1:34" ht="18.75" x14ac:dyDescent="0.3">
      <c r="B24" s="238"/>
      <c r="C24" s="238"/>
      <c r="L24" s="253"/>
      <c r="Z24" s="299"/>
      <c r="AA24" s="294"/>
      <c r="AB24" s="294"/>
      <c r="AC24" s="294"/>
      <c r="AD24" s="294"/>
      <c r="AE24" s="294"/>
      <c r="AF24" s="294"/>
      <c r="AG24" s="294"/>
      <c r="AH24" s="300"/>
    </row>
    <row r="25" spans="1:34" ht="18.75" x14ac:dyDescent="0.3">
      <c r="B25" s="238"/>
      <c r="C25" s="238"/>
      <c r="L25" s="253"/>
      <c r="Z25" s="299"/>
      <c r="AA25" s="294"/>
      <c r="AB25" s="294"/>
      <c r="AC25" s="294"/>
      <c r="AD25" s="294" t="s">
        <v>424</v>
      </c>
      <c r="AE25" s="294"/>
      <c r="AF25" s="294"/>
      <c r="AG25" s="294"/>
      <c r="AH25" s="300"/>
    </row>
    <row r="26" spans="1:34" ht="18.75" x14ac:dyDescent="0.3">
      <c r="B26" s="238"/>
      <c r="C26" s="238"/>
      <c r="L26" s="253"/>
      <c r="Z26" s="299"/>
      <c r="AA26" s="294"/>
      <c r="AB26" s="294"/>
      <c r="AC26" s="294"/>
      <c r="AD26" s="294" t="s">
        <v>425</v>
      </c>
      <c r="AE26" s="294"/>
      <c r="AF26" s="294"/>
      <c r="AG26" s="294"/>
      <c r="AH26" s="300"/>
    </row>
    <row r="27" spans="1:34" ht="18.75" x14ac:dyDescent="0.3">
      <c r="B27" s="238"/>
      <c r="C27" s="238"/>
      <c r="L27" s="253"/>
      <c r="Z27" s="299"/>
      <c r="AA27" s="294"/>
      <c r="AB27" s="294"/>
      <c r="AC27" s="294"/>
      <c r="AD27" s="294"/>
      <c r="AE27" s="294"/>
      <c r="AF27" s="294"/>
      <c r="AG27" s="294"/>
      <c r="AH27" s="300"/>
    </row>
    <row r="28" spans="1:34" ht="18.75" x14ac:dyDescent="0.3">
      <c r="A28" s="245" t="s">
        <v>45</v>
      </c>
      <c r="B28" s="247" t="s">
        <v>358</v>
      </c>
      <c r="C28" s="247" t="s">
        <v>356</v>
      </c>
      <c r="L28" s="253"/>
      <c r="R28" s="243" t="s">
        <v>375</v>
      </c>
      <c r="Z28" s="299"/>
      <c r="AA28" s="294"/>
      <c r="AB28" s="294"/>
      <c r="AC28" s="294"/>
      <c r="AD28" s="294" t="s">
        <v>426</v>
      </c>
      <c r="AE28" s="294"/>
      <c r="AF28" s="294"/>
      <c r="AG28" s="294"/>
      <c r="AH28" s="300"/>
    </row>
    <row r="29" spans="1:34" ht="18.75" x14ac:dyDescent="0.3">
      <c r="A29" s="245">
        <v>2016</v>
      </c>
      <c r="B29" s="246">
        <f t="shared" ref="B29:B33" si="1">B2</f>
        <v>0.13</v>
      </c>
      <c r="C29" s="246">
        <v>0.17592592592592593</v>
      </c>
      <c r="L29" s="253"/>
      <c r="Q29" s="242" t="s">
        <v>373</v>
      </c>
      <c r="T29" s="243" t="s">
        <v>376</v>
      </c>
      <c r="U29" s="243" t="s">
        <v>377</v>
      </c>
      <c r="Z29" s="299"/>
      <c r="AA29" s="294"/>
      <c r="AB29" s="294"/>
      <c r="AC29" s="294"/>
      <c r="AD29" s="294" t="s">
        <v>427</v>
      </c>
      <c r="AE29" s="294"/>
      <c r="AF29" s="294"/>
      <c r="AG29" s="294"/>
      <c r="AH29" s="300"/>
    </row>
    <row r="30" spans="1:34" ht="21" x14ac:dyDescent="0.35">
      <c r="A30" s="245">
        <v>2018</v>
      </c>
      <c r="B30" s="246">
        <f t="shared" si="1"/>
        <v>0.10333333333333333</v>
      </c>
      <c r="C30" s="246">
        <v>0.19444444444444445</v>
      </c>
      <c r="L30" s="253"/>
      <c r="P30" s="64" t="s">
        <v>378</v>
      </c>
      <c r="Q30" s="250">
        <f>Q3</f>
        <v>13.866666666666665</v>
      </c>
      <c r="R30" s="241">
        <f>Q30/100</f>
        <v>0.13866666666666666</v>
      </c>
      <c r="S30" s="244" t="s">
        <v>383</v>
      </c>
      <c r="Z30" s="299"/>
      <c r="AA30" s="294"/>
      <c r="AB30" s="294"/>
      <c r="AC30" s="294"/>
      <c r="AD30" s="294"/>
      <c r="AE30" s="294"/>
      <c r="AF30" s="294"/>
      <c r="AG30" s="294"/>
      <c r="AH30" s="300"/>
    </row>
    <row r="31" spans="1:34" ht="21" x14ac:dyDescent="0.35">
      <c r="A31" s="245">
        <v>2020</v>
      </c>
      <c r="B31" s="246">
        <f t="shared" si="1"/>
        <v>0.06</v>
      </c>
      <c r="C31" s="246">
        <v>0.28703703703703703</v>
      </c>
      <c r="L31" s="253"/>
      <c r="Q31" s="251">
        <f>6.9594*(R30^2)-2.6235*R30+0.4088</f>
        <v>0.17882643626666669</v>
      </c>
      <c r="R31" s="568" t="s">
        <v>381</v>
      </c>
      <c r="S31" s="568"/>
      <c r="T31" s="568"/>
      <c r="U31" s="568"/>
      <c r="V31" s="568"/>
      <c r="Z31" s="299"/>
      <c r="AA31" s="294"/>
      <c r="AB31" s="294"/>
      <c r="AC31" s="294"/>
      <c r="AD31" s="294" t="s">
        <v>428</v>
      </c>
      <c r="AE31" s="294"/>
      <c r="AF31" s="294"/>
      <c r="AG31" s="294"/>
      <c r="AH31" s="300"/>
    </row>
    <row r="32" spans="1:34" ht="18.75" x14ac:dyDescent="0.3">
      <c r="A32" s="245">
        <v>2022</v>
      </c>
      <c r="B32" s="246">
        <f t="shared" si="1"/>
        <v>0.21</v>
      </c>
      <c r="C32" s="246">
        <v>0.12962962962962962</v>
      </c>
      <c r="L32" s="253"/>
      <c r="Z32" s="299"/>
      <c r="AA32" s="294"/>
      <c r="AB32" s="294"/>
      <c r="AC32" s="294"/>
      <c r="AD32" s="294" t="s">
        <v>429</v>
      </c>
      <c r="AE32" s="294"/>
      <c r="AF32" s="294"/>
      <c r="AG32" s="294"/>
      <c r="AH32" s="300"/>
    </row>
    <row r="33" spans="1:34" ht="18.75" x14ac:dyDescent="0.3">
      <c r="A33" s="245">
        <v>2024</v>
      </c>
      <c r="B33" s="246">
        <f t="shared" si="1"/>
        <v>0.19</v>
      </c>
      <c r="C33" s="246">
        <v>0.21296296296296297</v>
      </c>
      <c r="L33" s="253"/>
      <c r="Z33" s="299"/>
      <c r="AA33" s="294"/>
      <c r="AB33" s="294"/>
      <c r="AC33" s="294"/>
      <c r="AD33" s="294"/>
      <c r="AE33" s="294"/>
      <c r="AF33" s="294"/>
      <c r="AG33" s="294"/>
      <c r="AH33" s="300"/>
    </row>
    <row r="34" spans="1:34" ht="18.75" x14ac:dyDescent="0.3">
      <c r="L34" s="253"/>
      <c r="Z34" s="299"/>
      <c r="AA34" s="294"/>
      <c r="AB34" s="294"/>
      <c r="AC34" s="294"/>
      <c r="AD34" s="294" t="s">
        <v>430</v>
      </c>
      <c r="AE34" s="294"/>
      <c r="AF34" s="294"/>
      <c r="AG34" s="294"/>
      <c r="AH34" s="300"/>
    </row>
    <row r="35" spans="1:34" ht="18.75" x14ac:dyDescent="0.3">
      <c r="L35" s="253"/>
      <c r="Z35" s="299"/>
      <c r="AA35" s="294"/>
      <c r="AB35" s="294"/>
      <c r="AC35" s="294"/>
      <c r="AD35" s="294" t="s">
        <v>431</v>
      </c>
      <c r="AE35" s="294"/>
      <c r="AF35" s="294"/>
      <c r="AG35" s="294"/>
      <c r="AH35" s="300"/>
    </row>
    <row r="36" spans="1:34" ht="18.75" x14ac:dyDescent="0.3">
      <c r="L36" s="253"/>
      <c r="Z36" s="299"/>
      <c r="AA36" s="294"/>
      <c r="AB36" s="294"/>
      <c r="AC36" s="294"/>
      <c r="AD36" s="294" t="s">
        <v>432</v>
      </c>
      <c r="AE36" s="294"/>
      <c r="AF36" s="294"/>
      <c r="AG36" s="294"/>
      <c r="AH36" s="300"/>
    </row>
    <row r="37" spans="1:34" ht="18.75" x14ac:dyDescent="0.3">
      <c r="L37" s="253"/>
      <c r="Z37" s="299"/>
      <c r="AA37" s="294"/>
      <c r="AB37" s="294"/>
      <c r="AC37" s="294"/>
      <c r="AD37" s="294" t="s">
        <v>433</v>
      </c>
      <c r="AE37" s="294"/>
      <c r="AF37" s="294"/>
      <c r="AG37" s="294"/>
      <c r="AH37" s="300"/>
    </row>
    <row r="38" spans="1:34" ht="18.75" x14ac:dyDescent="0.3">
      <c r="L38" s="253"/>
      <c r="Z38" s="299"/>
      <c r="AA38" s="294"/>
      <c r="AB38" s="294"/>
      <c r="AC38" s="294"/>
      <c r="AD38" s="294" t="s">
        <v>434</v>
      </c>
      <c r="AE38" s="294"/>
      <c r="AF38" s="294"/>
      <c r="AG38" s="294"/>
      <c r="AH38" s="300"/>
    </row>
    <row r="39" spans="1:34" ht="18.75" x14ac:dyDescent="0.3">
      <c r="L39" s="253"/>
      <c r="Z39" s="299"/>
      <c r="AA39" s="294"/>
      <c r="AB39" s="294"/>
      <c r="AC39" s="294"/>
      <c r="AD39" s="294" t="s">
        <v>435</v>
      </c>
      <c r="AE39" s="294"/>
      <c r="AF39" s="294"/>
      <c r="AG39" s="294"/>
      <c r="AH39" s="300"/>
    </row>
    <row r="40" spans="1:34" ht="18.75" x14ac:dyDescent="0.3">
      <c r="L40" s="253"/>
      <c r="Z40" s="299"/>
      <c r="AA40" s="294"/>
      <c r="AB40" s="294"/>
      <c r="AC40" s="294"/>
      <c r="AD40" s="294" t="s">
        <v>436</v>
      </c>
      <c r="AE40" s="294"/>
      <c r="AF40" s="294"/>
      <c r="AG40" s="294"/>
      <c r="AH40" s="300"/>
    </row>
    <row r="41" spans="1:34" ht="18.75" x14ac:dyDescent="0.3">
      <c r="A41" s="245" t="s">
        <v>45</v>
      </c>
      <c r="B41" s="245" t="s">
        <v>358</v>
      </c>
      <c r="C41" s="245" t="s">
        <v>357</v>
      </c>
      <c r="L41" s="253"/>
      <c r="Z41" s="299"/>
      <c r="AA41" s="294"/>
      <c r="AB41" s="294"/>
      <c r="AC41" s="294"/>
      <c r="AD41" s="294" t="s">
        <v>437</v>
      </c>
      <c r="AE41" s="294"/>
      <c r="AF41" s="294"/>
      <c r="AG41" s="294"/>
      <c r="AH41" s="300"/>
    </row>
    <row r="42" spans="1:34" ht="18.75" x14ac:dyDescent="0.3">
      <c r="A42" s="245">
        <v>2016</v>
      </c>
      <c r="B42" s="246">
        <f t="shared" ref="B42:B46" si="2">B2</f>
        <v>0.13</v>
      </c>
      <c r="C42" s="246">
        <v>0.15238095238095239</v>
      </c>
      <c r="L42" s="253"/>
      <c r="R42" s="243" t="s">
        <v>375</v>
      </c>
      <c r="Z42" s="299"/>
      <c r="AA42" s="294"/>
      <c r="AB42" s="294"/>
      <c r="AC42" s="294"/>
      <c r="AD42" s="294" t="s">
        <v>438</v>
      </c>
      <c r="AE42" s="294"/>
      <c r="AF42" s="294"/>
      <c r="AG42" s="294"/>
      <c r="AH42" s="300"/>
    </row>
    <row r="43" spans="1:34" ht="18.75" x14ac:dyDescent="0.3">
      <c r="A43" s="245">
        <v>2018</v>
      </c>
      <c r="B43" s="246">
        <f t="shared" si="2"/>
        <v>0.10333333333333333</v>
      </c>
      <c r="C43" s="246">
        <v>0.19047619047619047</v>
      </c>
      <c r="L43" s="253"/>
      <c r="Q43" s="242" t="s">
        <v>374</v>
      </c>
      <c r="T43" s="243" t="s">
        <v>376</v>
      </c>
      <c r="U43" s="243" t="s">
        <v>377</v>
      </c>
      <c r="Z43" s="299"/>
      <c r="AA43" s="294"/>
      <c r="AB43" s="294"/>
      <c r="AC43" s="294"/>
      <c r="AD43" s="294" t="s">
        <v>439</v>
      </c>
      <c r="AE43" s="294"/>
      <c r="AF43" s="294"/>
      <c r="AG43" s="294"/>
      <c r="AH43" s="300"/>
    </row>
    <row r="44" spans="1:34" ht="21" x14ac:dyDescent="0.35">
      <c r="A44" s="245">
        <v>2020</v>
      </c>
      <c r="B44" s="246">
        <f t="shared" si="2"/>
        <v>0.06</v>
      </c>
      <c r="C44" s="246">
        <v>0.24761904761904763</v>
      </c>
      <c r="L44" s="253"/>
      <c r="P44" s="64" t="s">
        <v>378</v>
      </c>
      <c r="Q44" s="250">
        <f>Q3</f>
        <v>13.866666666666665</v>
      </c>
      <c r="R44" s="241">
        <f>Q44/100</f>
        <v>0.13866666666666666</v>
      </c>
      <c r="S44" s="244" t="s">
        <v>383</v>
      </c>
      <c r="Z44" s="299"/>
      <c r="AA44" s="294"/>
      <c r="AB44" s="294"/>
      <c r="AC44" s="294"/>
      <c r="AD44" s="294" t="s">
        <v>440</v>
      </c>
      <c r="AE44" s="294"/>
      <c r="AF44" s="294"/>
      <c r="AG44" s="294"/>
      <c r="AH44" s="300"/>
    </row>
    <row r="45" spans="1:34" ht="21" x14ac:dyDescent="0.35">
      <c r="A45" s="245">
        <v>2022</v>
      </c>
      <c r="B45" s="246">
        <f t="shared" si="2"/>
        <v>0.21</v>
      </c>
      <c r="C45" s="246">
        <v>0.26666666666666666</v>
      </c>
      <c r="L45" s="253"/>
      <c r="Q45" s="251">
        <f>17.76*(R44^2)-4.9636*(R44)+0.4927</f>
        <v>0.1459113066666668</v>
      </c>
      <c r="R45" s="568" t="s">
        <v>382</v>
      </c>
      <c r="S45" s="568"/>
      <c r="T45" s="568"/>
      <c r="U45" s="568"/>
      <c r="V45" s="568"/>
      <c r="Z45" s="299"/>
      <c r="AA45" s="294"/>
      <c r="AB45" s="294"/>
      <c r="AC45" s="294"/>
      <c r="AD45" s="294" t="s">
        <v>436</v>
      </c>
      <c r="AE45" s="294"/>
      <c r="AF45" s="294"/>
      <c r="AG45" s="294"/>
      <c r="AH45" s="300"/>
    </row>
    <row r="46" spans="1:34" ht="18.75" x14ac:dyDescent="0.3">
      <c r="A46" s="245">
        <v>2024</v>
      </c>
      <c r="B46" s="246">
        <f t="shared" si="2"/>
        <v>0.19</v>
      </c>
      <c r="C46" s="246">
        <v>0.14285714285714285</v>
      </c>
      <c r="L46" s="253"/>
      <c r="Z46" s="299"/>
      <c r="AA46" s="294"/>
      <c r="AB46" s="294"/>
      <c r="AC46" s="294"/>
      <c r="AD46" s="294" t="s">
        <v>441</v>
      </c>
      <c r="AE46" s="294"/>
      <c r="AF46" s="294"/>
      <c r="AG46" s="294"/>
      <c r="AH46" s="300"/>
    </row>
    <row r="47" spans="1:34" ht="18.75" x14ac:dyDescent="0.3">
      <c r="Z47" s="299"/>
      <c r="AA47" s="294"/>
      <c r="AB47" s="294"/>
      <c r="AC47" s="294"/>
      <c r="AD47" s="294" t="s">
        <v>442</v>
      </c>
      <c r="AE47" s="294"/>
      <c r="AF47" s="294"/>
      <c r="AG47" s="294"/>
      <c r="AH47" s="300"/>
    </row>
    <row r="48" spans="1:34" ht="18.75" x14ac:dyDescent="0.3">
      <c r="Z48" s="299"/>
      <c r="AA48" s="294"/>
      <c r="AB48" s="294"/>
      <c r="AC48" s="294"/>
      <c r="AD48" s="294" t="s">
        <v>443</v>
      </c>
      <c r="AE48" s="294"/>
      <c r="AF48" s="294"/>
      <c r="AG48" s="294"/>
      <c r="AH48" s="300"/>
    </row>
    <row r="49" spans="6:34" ht="18.75" x14ac:dyDescent="0.3">
      <c r="Z49" s="299"/>
      <c r="AA49" s="294"/>
      <c r="AB49" s="294"/>
      <c r="AC49" s="294"/>
      <c r="AD49" s="294" t="s">
        <v>444</v>
      </c>
      <c r="AE49" s="294"/>
      <c r="AF49" s="294"/>
      <c r="AG49" s="294"/>
      <c r="AH49" s="300"/>
    </row>
    <row r="50" spans="6:34" ht="18.75" x14ac:dyDescent="0.3">
      <c r="Z50" s="299"/>
      <c r="AA50" s="294"/>
      <c r="AB50" s="294"/>
      <c r="AC50" s="294"/>
      <c r="AD50" s="294" t="s">
        <v>445</v>
      </c>
      <c r="AE50" s="294"/>
      <c r="AF50" s="294"/>
      <c r="AG50" s="294"/>
      <c r="AH50" s="300"/>
    </row>
    <row r="51" spans="6:34" ht="18.75" x14ac:dyDescent="0.3">
      <c r="Z51" s="299"/>
      <c r="AA51" s="294"/>
      <c r="AB51" s="294"/>
      <c r="AC51" s="294"/>
      <c r="AD51" s="294" t="s">
        <v>446</v>
      </c>
      <c r="AE51" s="294"/>
      <c r="AF51" s="294"/>
      <c r="AG51" s="294"/>
      <c r="AH51" s="300"/>
    </row>
    <row r="52" spans="6:34" ht="18.75" x14ac:dyDescent="0.3">
      <c r="Z52" s="299"/>
      <c r="AA52" s="294"/>
      <c r="AB52" s="294"/>
      <c r="AC52" s="294"/>
      <c r="AD52" s="294" t="s">
        <v>447</v>
      </c>
      <c r="AE52" s="294"/>
      <c r="AF52" s="294"/>
      <c r="AG52" s="294"/>
      <c r="AH52" s="300"/>
    </row>
    <row r="53" spans="6:34" ht="18.75" x14ac:dyDescent="0.3">
      <c r="Z53" s="299"/>
      <c r="AA53" s="294"/>
      <c r="AB53" s="294"/>
      <c r="AC53" s="294"/>
      <c r="AD53" s="294" t="s">
        <v>448</v>
      </c>
      <c r="AE53" s="294"/>
      <c r="AF53" s="294"/>
      <c r="AG53" s="294"/>
      <c r="AH53" s="300"/>
    </row>
    <row r="54" spans="6:34" ht="19.5" thickBot="1" x14ac:dyDescent="0.35">
      <c r="Z54" s="301"/>
      <c r="AA54" s="295"/>
      <c r="AB54" s="295"/>
      <c r="AC54" s="295"/>
      <c r="AD54" s="295"/>
      <c r="AE54" s="295"/>
      <c r="AF54" s="295"/>
      <c r="AG54" s="295"/>
      <c r="AH54" s="302"/>
    </row>
    <row r="58" spans="6:34" x14ac:dyDescent="0.25">
      <c r="F58" s="565" t="s">
        <v>388</v>
      </c>
      <c r="G58" s="565"/>
      <c r="H58" s="565"/>
      <c r="I58" s="565"/>
    </row>
    <row r="59" spans="6:34" x14ac:dyDescent="0.25">
      <c r="F59" s="565"/>
      <c r="G59" s="565"/>
      <c r="H59" s="565"/>
      <c r="I59" s="565"/>
    </row>
    <row r="60" spans="6:34" x14ac:dyDescent="0.25">
      <c r="F60" s="565"/>
      <c r="G60" s="565"/>
      <c r="H60" s="565"/>
      <c r="I60" s="565"/>
    </row>
    <row r="61" spans="6:34" x14ac:dyDescent="0.25">
      <c r="F61" s="565"/>
      <c r="G61" s="565"/>
      <c r="H61" s="565"/>
      <c r="I61" s="565"/>
    </row>
    <row r="62" spans="6:34" x14ac:dyDescent="0.25">
      <c r="F62" s="565"/>
      <c r="G62" s="565"/>
      <c r="H62" s="565"/>
      <c r="I62" s="565"/>
    </row>
    <row r="63" spans="6:34" x14ac:dyDescent="0.25">
      <c r="F63" s="565"/>
      <c r="G63" s="565"/>
      <c r="H63" s="565"/>
      <c r="I63" s="565"/>
    </row>
    <row r="64" spans="6:34" x14ac:dyDescent="0.25">
      <c r="F64" s="565"/>
      <c r="G64" s="565"/>
      <c r="H64" s="565"/>
      <c r="I64" s="565"/>
    </row>
    <row r="65" spans="6:9" x14ac:dyDescent="0.25">
      <c r="F65" s="565"/>
      <c r="G65" s="565"/>
      <c r="H65" s="565"/>
      <c r="I65" s="565"/>
    </row>
    <row r="66" spans="6:9" x14ac:dyDescent="0.25">
      <c r="F66" s="565"/>
      <c r="G66" s="565"/>
      <c r="H66" s="565"/>
      <c r="I66" s="565"/>
    </row>
    <row r="68" spans="6:9" ht="18.75" x14ac:dyDescent="0.3">
      <c r="G68" s="268" t="s">
        <v>393</v>
      </c>
      <c r="H68" s="268" t="s">
        <v>358</v>
      </c>
    </row>
    <row r="69" spans="6:9" ht="18.75" x14ac:dyDescent="0.3">
      <c r="G69" s="268" t="s">
        <v>394</v>
      </c>
      <c r="H69" s="268" t="s">
        <v>392</v>
      </c>
    </row>
  </sheetData>
  <mergeCells count="9">
    <mergeCell ref="F58:I66"/>
    <mergeCell ref="R17:V17"/>
    <mergeCell ref="R31:V31"/>
    <mergeCell ref="R45:V45"/>
    <mergeCell ref="M4:O4"/>
    <mergeCell ref="M5:O5"/>
    <mergeCell ref="M6:O6"/>
    <mergeCell ref="M7:O7"/>
    <mergeCell ref="R6:V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4"/>
  <sheetViews>
    <sheetView topLeftCell="A7" zoomScale="73" zoomScaleNormal="73" workbookViewId="0">
      <selection activeCell="N25" sqref="N25"/>
    </sheetView>
  </sheetViews>
  <sheetFormatPr baseColWidth="10" defaultRowHeight="15" x14ac:dyDescent="0.25"/>
  <cols>
    <col min="1" max="1" width="8" bestFit="1" customWidth="1"/>
    <col min="2" max="2" width="14.28515625" bestFit="1" customWidth="1"/>
    <col min="3" max="3" width="16.140625" bestFit="1" customWidth="1"/>
    <col min="6" max="6" width="12.42578125" bestFit="1" customWidth="1"/>
    <col min="7" max="7" width="12.7109375" bestFit="1" customWidth="1"/>
    <col min="14" max="14" width="21.28515625" customWidth="1"/>
    <col min="15" max="15" width="13.42578125" bestFit="1" customWidth="1"/>
  </cols>
  <sheetData>
    <row r="1" spans="1:22" ht="15.75" x14ac:dyDescent="0.25">
      <c r="A1" s="254" t="s">
        <v>262</v>
      </c>
      <c r="B1" s="254" t="s">
        <v>358</v>
      </c>
      <c r="C1" s="254" t="s">
        <v>354</v>
      </c>
    </row>
    <row r="2" spans="1:22" ht="17.25" x14ac:dyDescent="0.25">
      <c r="A2" s="254">
        <v>2016</v>
      </c>
      <c r="B2" s="257">
        <v>0.13</v>
      </c>
      <c r="C2" s="257">
        <v>0.3364485981308411</v>
      </c>
      <c r="N2" t="s">
        <v>390</v>
      </c>
    </row>
    <row r="3" spans="1:22" ht="21" x14ac:dyDescent="0.35">
      <c r="A3" s="254">
        <v>2018</v>
      </c>
      <c r="B3" s="257">
        <v>0.10333333333333333</v>
      </c>
      <c r="C3" s="257">
        <v>0.24299065420560748</v>
      </c>
      <c r="M3" t="s">
        <v>378</v>
      </c>
      <c r="N3" s="277">
        <f>O3*100</f>
        <v>20</v>
      </c>
      <c r="O3" s="255">
        <f>C11</f>
        <v>0.2</v>
      </c>
      <c r="P3" s="569" t="s">
        <v>411</v>
      </c>
      <c r="Q3" s="569"/>
    </row>
    <row r="4" spans="1:22" ht="21" x14ac:dyDescent="0.35">
      <c r="A4" s="254">
        <v>2020</v>
      </c>
      <c r="B4" s="257">
        <v>0.06</v>
      </c>
      <c r="C4" s="257">
        <v>9.3457943925233641E-2</v>
      </c>
      <c r="N4" s="278">
        <f>O4/100000</f>
        <v>0.30679928100000003</v>
      </c>
      <c r="O4" s="256">
        <f>0.0075*(O3^2)-30.361*O3+30686</f>
        <v>30679.928100000001</v>
      </c>
      <c r="P4" s="568" t="s">
        <v>386</v>
      </c>
      <c r="Q4" s="568"/>
      <c r="R4" s="568"/>
      <c r="S4" s="568"/>
      <c r="T4" s="568"/>
      <c r="U4" s="568"/>
      <c r="V4" s="568"/>
    </row>
    <row r="5" spans="1:22" ht="15.75" x14ac:dyDescent="0.25">
      <c r="A5" s="254">
        <v>2022</v>
      </c>
      <c r="B5" s="257">
        <v>0.21</v>
      </c>
      <c r="C5" s="257">
        <v>0.15887850467289719</v>
      </c>
    </row>
    <row r="6" spans="1:22" ht="15.75" x14ac:dyDescent="0.25">
      <c r="A6" s="254">
        <v>2024</v>
      </c>
      <c r="B6" s="257">
        <v>0.19</v>
      </c>
      <c r="C6" s="257">
        <v>0.16822429906542055</v>
      </c>
    </row>
    <row r="7" spans="1:22" ht="15.75" x14ac:dyDescent="0.25">
      <c r="A7" s="262">
        <v>2025</v>
      </c>
      <c r="B7" s="257"/>
      <c r="C7" s="257"/>
    </row>
    <row r="8" spans="1:22" ht="15.75" x14ac:dyDescent="0.25">
      <c r="A8" s="262">
        <v>2026</v>
      </c>
      <c r="B8" s="257"/>
      <c r="C8" s="257"/>
    </row>
    <row r="9" spans="1:22" ht="15.75" x14ac:dyDescent="0.25">
      <c r="A9" s="262">
        <v>2027</v>
      </c>
      <c r="B9" s="257"/>
      <c r="C9" s="257"/>
    </row>
    <row r="10" spans="1:22" ht="15.75" x14ac:dyDescent="0.25">
      <c r="A10" s="262">
        <v>2028</v>
      </c>
      <c r="B10" s="257"/>
      <c r="C10" s="257"/>
    </row>
    <row r="11" spans="1:22" ht="18.75" x14ac:dyDescent="0.3">
      <c r="B11" s="292" t="s">
        <v>348</v>
      </c>
      <c r="C11" s="293">
        <f>AVERAGE(C2:C8)</f>
        <v>0.2</v>
      </c>
    </row>
    <row r="15" spans="1:22" ht="17.25" x14ac:dyDescent="0.25">
      <c r="A15" s="254" t="s">
        <v>262</v>
      </c>
      <c r="B15" s="254" t="s">
        <v>358</v>
      </c>
      <c r="C15" s="254" t="s">
        <v>355</v>
      </c>
      <c r="N15" t="s">
        <v>391</v>
      </c>
    </row>
    <row r="16" spans="1:22" ht="21" x14ac:dyDescent="0.35">
      <c r="A16" s="254">
        <v>2016</v>
      </c>
      <c r="B16" s="258">
        <v>0.13</v>
      </c>
      <c r="C16" s="258">
        <v>0.17592592592592593</v>
      </c>
      <c r="M16" t="s">
        <v>378</v>
      </c>
      <c r="N16" s="277">
        <f>O16*100</f>
        <v>20</v>
      </c>
      <c r="O16" s="255">
        <f>C25</f>
        <v>0.2</v>
      </c>
      <c r="P16" s="569" t="s">
        <v>412</v>
      </c>
      <c r="Q16" s="569"/>
    </row>
    <row r="17" spans="1:22" ht="21" x14ac:dyDescent="0.35">
      <c r="A17" s="254">
        <v>2018</v>
      </c>
      <c r="B17" s="258">
        <v>0.10333333333333333</v>
      </c>
      <c r="C17" s="258">
        <v>0.21296296296296297</v>
      </c>
      <c r="N17" s="278">
        <f>O17/100000</f>
        <v>0.17519528571999998</v>
      </c>
      <c r="O17" s="255">
        <f>0.0043*(O16^2)-17.358*O16+17523</f>
        <v>17519.528571999999</v>
      </c>
      <c r="P17" s="568" t="s">
        <v>386</v>
      </c>
      <c r="Q17" s="568"/>
      <c r="R17" s="568"/>
      <c r="S17" s="568"/>
      <c r="T17" s="568"/>
      <c r="U17" s="568"/>
      <c r="V17" s="568"/>
    </row>
    <row r="18" spans="1:22" ht="15.75" x14ac:dyDescent="0.25">
      <c r="A18" s="254">
        <v>2020</v>
      </c>
      <c r="B18" s="258">
        <v>0.06</v>
      </c>
      <c r="C18" s="258">
        <v>0.14814814814814814</v>
      </c>
    </row>
    <row r="19" spans="1:22" ht="15.75" x14ac:dyDescent="0.25">
      <c r="A19" s="254">
        <v>2022</v>
      </c>
      <c r="B19" s="258">
        <v>0.21</v>
      </c>
      <c r="C19" s="258">
        <v>0.17592592592592593</v>
      </c>
    </row>
    <row r="20" spans="1:22" ht="15.75" x14ac:dyDescent="0.25">
      <c r="A20" s="254">
        <v>2024</v>
      </c>
      <c r="B20" s="258">
        <v>0.19</v>
      </c>
      <c r="C20" s="258">
        <v>0.28703703703703703</v>
      </c>
    </row>
    <row r="21" spans="1:22" ht="15.75" x14ac:dyDescent="0.25">
      <c r="A21" s="262">
        <v>2025</v>
      </c>
      <c r="B21" s="257"/>
      <c r="C21" s="257"/>
    </row>
    <row r="22" spans="1:22" ht="15.75" x14ac:dyDescent="0.25">
      <c r="A22" s="262">
        <v>2026</v>
      </c>
      <c r="B22" s="257"/>
      <c r="C22" s="257"/>
    </row>
    <row r="23" spans="1:22" ht="15.75" x14ac:dyDescent="0.25">
      <c r="A23" s="262">
        <v>2027</v>
      </c>
      <c r="B23" s="257"/>
      <c r="C23" s="257"/>
    </row>
    <row r="24" spans="1:22" ht="15.75" x14ac:dyDescent="0.25">
      <c r="A24" s="262">
        <v>2028</v>
      </c>
      <c r="B24" s="257"/>
      <c r="C24" s="257"/>
    </row>
    <row r="25" spans="1:22" ht="18.75" x14ac:dyDescent="0.3">
      <c r="B25" s="292" t="s">
        <v>348</v>
      </c>
      <c r="C25" s="293">
        <f>AVERAGE(C16:C20)</f>
        <v>0.2</v>
      </c>
    </row>
    <row r="30" spans="1:22" ht="17.25" x14ac:dyDescent="0.25">
      <c r="A30" s="254" t="s">
        <v>262</v>
      </c>
      <c r="B30" s="254" t="s">
        <v>358</v>
      </c>
      <c r="C30" s="254" t="s">
        <v>356</v>
      </c>
      <c r="N30" t="s">
        <v>385</v>
      </c>
    </row>
    <row r="31" spans="1:22" ht="21" x14ac:dyDescent="0.35">
      <c r="A31" s="259">
        <v>2016</v>
      </c>
      <c r="B31" s="260">
        <v>0.13</v>
      </c>
      <c r="C31" s="257">
        <v>0.17592592592592593</v>
      </c>
      <c r="M31" t="s">
        <v>378</v>
      </c>
      <c r="N31" s="277">
        <f>O31*100</f>
        <v>20</v>
      </c>
      <c r="O31" s="255">
        <f>C40</f>
        <v>0.2</v>
      </c>
      <c r="P31" s="569" t="s">
        <v>413</v>
      </c>
      <c r="Q31" s="569"/>
    </row>
    <row r="32" spans="1:22" ht="21" x14ac:dyDescent="0.35">
      <c r="A32" s="259">
        <v>2018</v>
      </c>
      <c r="B32" s="260">
        <v>0.10333333333333333</v>
      </c>
      <c r="C32" s="257">
        <v>0.19444444444444445</v>
      </c>
      <c r="N32" s="278">
        <f>O32/100000</f>
        <v>0.15033020548000001</v>
      </c>
      <c r="O32" s="255">
        <f>0.0037*(O31^2)-14.898*O31+15036</f>
        <v>15033.020548</v>
      </c>
      <c r="P32" s="568" t="s">
        <v>386</v>
      </c>
      <c r="Q32" s="568"/>
      <c r="R32" s="568"/>
      <c r="S32" s="568"/>
      <c r="T32" s="568"/>
      <c r="U32" s="568"/>
      <c r="V32" s="568"/>
    </row>
    <row r="33" spans="1:22" ht="15.75" x14ac:dyDescent="0.25">
      <c r="A33" s="259">
        <v>2020</v>
      </c>
      <c r="B33" s="260">
        <v>0.06</v>
      </c>
      <c r="C33" s="257">
        <v>0.28703703703703703</v>
      </c>
    </row>
    <row r="34" spans="1:22" ht="15.75" x14ac:dyDescent="0.25">
      <c r="A34" s="259">
        <v>2022</v>
      </c>
      <c r="B34" s="260">
        <v>0.21</v>
      </c>
      <c r="C34" s="257">
        <v>0.12962962962962962</v>
      </c>
    </row>
    <row r="35" spans="1:22" ht="15.75" x14ac:dyDescent="0.25">
      <c r="A35" s="259">
        <v>2024</v>
      </c>
      <c r="B35" s="260">
        <v>0.19</v>
      </c>
      <c r="C35" s="257">
        <v>0.21296296296296297</v>
      </c>
    </row>
    <row r="36" spans="1:22" ht="15.75" x14ac:dyDescent="0.25">
      <c r="A36" s="262">
        <v>2025</v>
      </c>
      <c r="B36" s="257"/>
      <c r="C36" s="257"/>
    </row>
    <row r="37" spans="1:22" ht="15.75" x14ac:dyDescent="0.25">
      <c r="A37" s="262">
        <v>2026</v>
      </c>
      <c r="B37" s="257"/>
      <c r="C37" s="257"/>
    </row>
    <row r="38" spans="1:22" ht="15.75" x14ac:dyDescent="0.25">
      <c r="A38" s="262">
        <v>2027</v>
      </c>
      <c r="B38" s="257"/>
      <c r="C38" s="257"/>
    </row>
    <row r="39" spans="1:22" ht="15.75" x14ac:dyDescent="0.25">
      <c r="A39" s="262">
        <v>2028</v>
      </c>
      <c r="B39" s="257"/>
      <c r="C39" s="257"/>
    </row>
    <row r="40" spans="1:22" ht="18.75" x14ac:dyDescent="0.3">
      <c r="B40" s="292" t="s">
        <v>348</v>
      </c>
      <c r="C40" s="293">
        <f>AVERAGE(C31:C35)</f>
        <v>0.2</v>
      </c>
    </row>
    <row r="45" spans="1:22" ht="16.5" x14ac:dyDescent="0.25">
      <c r="A45" s="254" t="s">
        <v>262</v>
      </c>
      <c r="B45" s="254" t="s">
        <v>358</v>
      </c>
      <c r="C45" s="254" t="s">
        <v>357</v>
      </c>
      <c r="N45" s="261" t="s">
        <v>387</v>
      </c>
    </row>
    <row r="46" spans="1:22" ht="21" x14ac:dyDescent="0.35">
      <c r="A46" s="254">
        <v>2016</v>
      </c>
      <c r="B46" s="258">
        <v>0.13</v>
      </c>
      <c r="C46" s="258">
        <v>0.15238095238095239</v>
      </c>
      <c r="M46" t="s">
        <v>378</v>
      </c>
      <c r="N46" s="277">
        <f>O46*100</f>
        <v>20</v>
      </c>
      <c r="O46" s="255">
        <f>C55</f>
        <v>0.2</v>
      </c>
      <c r="P46" s="569" t="s">
        <v>414</v>
      </c>
      <c r="Q46" s="569"/>
    </row>
    <row r="47" spans="1:22" ht="21" x14ac:dyDescent="0.35">
      <c r="A47" s="254">
        <v>2018</v>
      </c>
      <c r="B47" s="258">
        <v>0.10333333333333333</v>
      </c>
      <c r="C47" s="258">
        <v>0.19047619047619047</v>
      </c>
      <c r="N47" s="278">
        <f>O47/100000</f>
        <v>0.15033020548000001</v>
      </c>
      <c r="O47" s="255">
        <f>0.0037*(O46^2)-14.898*O46+15036</f>
        <v>15033.020548</v>
      </c>
      <c r="P47" s="568" t="s">
        <v>386</v>
      </c>
      <c r="Q47" s="568"/>
      <c r="R47" s="568"/>
      <c r="S47" s="568"/>
      <c r="T47" s="568"/>
      <c r="U47" s="568"/>
      <c r="V47" s="568"/>
    </row>
    <row r="48" spans="1:22" ht="15.75" x14ac:dyDescent="0.25">
      <c r="A48" s="254">
        <v>2020</v>
      </c>
      <c r="B48" s="258">
        <v>0.06</v>
      </c>
      <c r="C48" s="258">
        <v>0.24761904761904763</v>
      </c>
    </row>
    <row r="49" spans="1:15" ht="15.75" x14ac:dyDescent="0.25">
      <c r="A49" s="254">
        <v>2022</v>
      </c>
      <c r="B49" s="258">
        <v>0.21</v>
      </c>
      <c r="C49" s="258">
        <v>0.26666666666666666</v>
      </c>
    </row>
    <row r="50" spans="1:15" ht="15.75" x14ac:dyDescent="0.25">
      <c r="A50" s="254">
        <v>2024</v>
      </c>
      <c r="B50" s="258">
        <v>0.19</v>
      </c>
      <c r="C50" s="258">
        <v>0.14285714285714285</v>
      </c>
      <c r="M50" s="214"/>
      <c r="N50" s="215" t="s">
        <v>415</v>
      </c>
      <c r="O50" s="215" t="s">
        <v>22</v>
      </c>
    </row>
    <row r="51" spans="1:15" ht="15.75" x14ac:dyDescent="0.25">
      <c r="A51" s="262">
        <v>2025</v>
      </c>
      <c r="B51" s="257"/>
      <c r="C51" s="257"/>
      <c r="M51" s="215" t="s">
        <v>32</v>
      </c>
      <c r="N51" s="279">
        <f>N3</f>
        <v>20</v>
      </c>
      <c r="O51" s="280">
        <f>N4</f>
        <v>0.30679928100000003</v>
      </c>
    </row>
    <row r="52" spans="1:15" ht="15.75" x14ac:dyDescent="0.25">
      <c r="A52" s="262">
        <v>2026</v>
      </c>
      <c r="B52" s="257"/>
      <c r="C52" s="257"/>
      <c r="M52" s="215" t="s">
        <v>37</v>
      </c>
      <c r="N52" s="279">
        <f>N16</f>
        <v>20</v>
      </c>
      <c r="O52" s="280">
        <f>N17</f>
        <v>0.17519528571999998</v>
      </c>
    </row>
    <row r="53" spans="1:15" ht="15.75" x14ac:dyDescent="0.25">
      <c r="A53" s="262">
        <v>2027</v>
      </c>
      <c r="B53" s="257"/>
      <c r="C53" s="257"/>
      <c r="M53" s="215" t="s">
        <v>35</v>
      </c>
      <c r="N53" s="279">
        <f>N31</f>
        <v>20</v>
      </c>
      <c r="O53" s="280">
        <f>N32</f>
        <v>0.15033020548000001</v>
      </c>
    </row>
    <row r="54" spans="1:15" ht="15.75" x14ac:dyDescent="0.25">
      <c r="A54" s="262">
        <v>2028</v>
      </c>
      <c r="B54" s="257"/>
      <c r="C54" s="257"/>
      <c r="M54" s="215" t="s">
        <v>60</v>
      </c>
      <c r="N54" s="279">
        <f>N46</f>
        <v>20</v>
      </c>
      <c r="O54" s="280">
        <f>N47</f>
        <v>0.15033020548000001</v>
      </c>
    </row>
    <row r="55" spans="1:15" ht="18.75" x14ac:dyDescent="0.3">
      <c r="B55" s="292" t="s">
        <v>348</v>
      </c>
      <c r="C55" s="293">
        <f>AVERAGE(C46:C50)</f>
        <v>0.2</v>
      </c>
    </row>
    <row r="62" spans="1:15" x14ac:dyDescent="0.25">
      <c r="E62" s="565" t="s">
        <v>389</v>
      </c>
      <c r="F62" s="565"/>
      <c r="G62" s="565"/>
      <c r="H62" s="565"/>
    </row>
    <row r="63" spans="1:15" x14ac:dyDescent="0.25">
      <c r="E63" s="565"/>
      <c r="F63" s="565"/>
      <c r="G63" s="565"/>
      <c r="H63" s="565"/>
    </row>
    <row r="64" spans="1:15" x14ac:dyDescent="0.25">
      <c r="E64" s="565"/>
      <c r="F64" s="565"/>
      <c r="G64" s="565"/>
      <c r="H64" s="565"/>
    </row>
    <row r="65" spans="5:8" x14ac:dyDescent="0.25">
      <c r="E65" s="565"/>
      <c r="F65" s="565"/>
      <c r="G65" s="565"/>
      <c r="H65" s="565"/>
    </row>
    <row r="66" spans="5:8" x14ac:dyDescent="0.25">
      <c r="E66" s="565"/>
      <c r="F66" s="565"/>
      <c r="G66" s="565"/>
      <c r="H66" s="565"/>
    </row>
    <row r="67" spans="5:8" x14ac:dyDescent="0.25">
      <c r="E67" s="565"/>
      <c r="F67" s="565"/>
      <c r="G67" s="565"/>
      <c r="H67" s="565"/>
    </row>
    <row r="68" spans="5:8" x14ac:dyDescent="0.25">
      <c r="E68" s="565"/>
      <c r="F68" s="565"/>
      <c r="G68" s="565"/>
      <c r="H68" s="565"/>
    </row>
    <row r="69" spans="5:8" x14ac:dyDescent="0.25">
      <c r="E69" s="565"/>
      <c r="F69" s="565"/>
      <c r="G69" s="565"/>
      <c r="H69" s="565"/>
    </row>
    <row r="70" spans="5:8" x14ac:dyDescent="0.25">
      <c r="E70" s="565"/>
      <c r="F70" s="565"/>
      <c r="G70" s="565"/>
      <c r="H70" s="565"/>
    </row>
    <row r="72" spans="5:8" ht="15.75" x14ac:dyDescent="0.25">
      <c r="F72" s="269" t="s">
        <v>393</v>
      </c>
      <c r="G72" s="269" t="s">
        <v>262</v>
      </c>
    </row>
    <row r="73" spans="5:8" ht="15.75" x14ac:dyDescent="0.25">
      <c r="F73" s="269" t="s">
        <v>394</v>
      </c>
      <c r="G73" s="269" t="s">
        <v>358</v>
      </c>
    </row>
    <row r="74" spans="5:8" ht="15.75" x14ac:dyDescent="0.25">
      <c r="F74" s="269" t="s">
        <v>394</v>
      </c>
      <c r="G74" s="269" t="s">
        <v>357</v>
      </c>
    </row>
  </sheetData>
  <mergeCells count="9">
    <mergeCell ref="P47:V47"/>
    <mergeCell ref="E62:H70"/>
    <mergeCell ref="P4:V4"/>
    <mergeCell ref="P3:Q3"/>
    <mergeCell ref="P16:Q16"/>
    <mergeCell ref="P17:V17"/>
    <mergeCell ref="P31:Q31"/>
    <mergeCell ref="P46:Q46"/>
    <mergeCell ref="P32:V3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PROBLEMA</vt:lpstr>
      <vt:lpstr>ANALISIS</vt:lpstr>
      <vt:lpstr> PRECIO CEM VS INF PAIS</vt:lpstr>
      <vt:lpstr> COMPARACION FR</vt:lpstr>
      <vt:lpstr>inf prod vs año</vt:lpstr>
      <vt:lpstr>graficos lineales</vt:lpstr>
      <vt:lpstr>dispercion lineal</vt:lpstr>
      <vt:lpstr>dispercion polinomica</vt:lpstr>
      <vt:lpstr>proyeccion 4 años</vt:lpstr>
    </vt:vector>
  </TitlesOfParts>
  <Company>TuSoft.org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TuSoft</dc:creator>
  <cp:lastModifiedBy>Fredtick castillo colmenares</cp:lastModifiedBy>
  <dcterms:created xsi:type="dcterms:W3CDTF">2025-10-02T09:00:10Z</dcterms:created>
  <dcterms:modified xsi:type="dcterms:W3CDTF">2025-11-26T20:26:05Z</dcterms:modified>
</cp:coreProperties>
</file>